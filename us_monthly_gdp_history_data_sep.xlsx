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ml.chartshapes+xml"/>
  <Override PartName="/xl/drawings/drawing4.xml" ContentType="application/vnd.openxmlformats-officedocument.drawingml.chartshapes+xml"/>
  <Override PartName="/xl/drawings/drawing5.xml" ContentType="application/vnd.openxmlformats-officedocument.drawingml.chartshapes+xml"/>
  <Override PartName="/xl/drawings/drawing6.xml" ContentType="application/vnd.openxmlformats-officedocument.drawingml.chartshapes+xml"/>
  <Override PartName="/xl/drawings/drawing7.xml" ContentType="application/vnd.openxmlformats-officedocument.drawingml.chartshapes+xml"/>
  <Override PartName="/xl/drawings/drawing8.xml" ContentType="application/vnd.openxmlformats-officedocument.drawingml.chartshap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activeTab="2"/>
  </bookViews>
  <sheets>
    <sheet name="Index" sheetId="22" r:id="rId1"/>
    <sheet name="Commentary" sheetId="23" r:id="rId2"/>
    <sheet name="Data" sheetId="2" r:id="rId3"/>
  </sheets>
  <definedNames>
    <definedName name="_dlx2" localSheetId="1">Commentary!#REF!</definedName>
    <definedName name="_dlx2">#REF!</definedName>
    <definedName name="AllApps">#REF!</definedName>
    <definedName name="Applications">#REF!</definedName>
    <definedName name="Limit">#REF!</definedName>
    <definedName name="_xlnm.Print_Area" localSheetId="1">Commentary!$B$1:$O$1</definedName>
    <definedName name="_xlnm.Print_Area" localSheetId="0">Index!$A$1:$P$11</definedName>
    <definedName name="Summ_Table">#REF!</definedName>
    <definedName name="Summ_Table_GD">#REF!</definedName>
    <definedName name="Summ_Table_Head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<sst xmlns="http://schemas.openxmlformats.org/spreadsheetml/2006/main" count="421" uniqueCount="420">
  <si>
    <t>S&amp;P Global Market Intelligence's Monthly GDP Index</t>
  </si>
  <si>
    <t>Monthly GDP Index Commentary</t>
  </si>
  <si>
    <t>Data</t>
  </si>
  <si>
    <t xml:space="preserve"> </t>
  </si>
  <si>
    <t>Monthly GDP Index</t>
  </si>
  <si>
    <t>Monthly GDP (SAAR)</t>
  </si>
  <si>
    <t xml:space="preserve">   % change</t>
  </si>
  <si>
    <t xml:space="preserve">   % change, ann. rate</t>
  </si>
  <si>
    <t xml:space="preserve"> Contributions to annualized % change</t>
  </si>
  <si>
    <t>Monthly GDP Index: July 2025</t>
  </si>
  <si>
    <t xml:space="preserve"> Monthly GDP</t>
  </si>
  <si>
    <t xml:space="preserve">   Final Sales</t>
  </si>
  <si>
    <t xml:space="preserve">      Domestic Purchasers</t>
  </si>
  <si>
    <t xml:space="preserve">         PCE</t>
  </si>
  <si>
    <t xml:space="preserve">         Nonres Fixed Inv</t>
  </si>
  <si>
    <t xml:space="preserve">         Res Fixed Inv</t>
  </si>
  <si>
    <t xml:space="preserve">         Covered Gov C&amp;GI</t>
  </si>
  <si>
    <t xml:space="preserve">         Not Covered</t>
  </si>
  <si>
    <t xml:space="preserve">      Net Exports</t>
  </si>
  <si>
    <t xml:space="preserve">   Nonfarm CIPI</t>
  </si>
  <si>
    <t>Monthly Nominal GDP Index</t>
  </si>
  <si>
    <t>Monthly Real GDP Index</t>
  </si>
  <si>
    <t>1992 - Jan</t>
  </si>
  <si>
    <t>1992 - Feb</t>
  </si>
  <si>
    <t>1992 - Mar</t>
  </si>
  <si>
    <t>1992 - Apr</t>
  </si>
  <si>
    <t>1992 - May</t>
  </si>
  <si>
    <t>1992 - Jun</t>
  </si>
  <si>
    <t>1992 - Jul</t>
  </si>
  <si>
    <t>1992 - Aug</t>
  </si>
  <si>
    <t>1992 - Sep</t>
  </si>
  <si>
    <t>1992 - Oct</t>
  </si>
  <si>
    <t>1992 - Nov</t>
  </si>
  <si>
    <t>1992 - Dec</t>
  </si>
  <si>
    <t>1993 - Jan</t>
  </si>
  <si>
    <t>1993 - Feb</t>
  </si>
  <si>
    <t>1993 - Mar</t>
  </si>
  <si>
    <t>1993 - Apr</t>
  </si>
  <si>
    <t>1993 - May</t>
  </si>
  <si>
    <t>1993 - Jun</t>
  </si>
  <si>
    <t>1993 - Jul</t>
  </si>
  <si>
    <t>1993 - Aug</t>
  </si>
  <si>
    <t>1993 - Sep</t>
  </si>
  <si>
    <t>1993 - Oct</t>
  </si>
  <si>
    <t>1993 - Nov</t>
  </si>
  <si>
    <t>1993 - Dec</t>
  </si>
  <si>
    <t>1994 - Jan</t>
  </si>
  <si>
    <t>1994 - Feb</t>
  </si>
  <si>
    <t>1994 - Mar</t>
  </si>
  <si>
    <t>1994 - Apr</t>
  </si>
  <si>
    <t>1994 - May</t>
  </si>
  <si>
    <t>1994 - Jun</t>
  </si>
  <si>
    <t>1994 - Jul</t>
  </si>
  <si>
    <t>1994 - Aug</t>
  </si>
  <si>
    <t>1994 - Sep</t>
  </si>
  <si>
    <t>1994 - Oct</t>
  </si>
  <si>
    <t>1994 - Nov</t>
  </si>
  <si>
    <t>1994 - Dec</t>
  </si>
  <si>
    <t>1995 - Jan</t>
  </si>
  <si>
    <t>1995 - Feb</t>
  </si>
  <si>
    <t>1995 - Mar</t>
  </si>
  <si>
    <t>1995 - Apr</t>
  </si>
  <si>
    <t>1995 - May</t>
  </si>
  <si>
    <t>1995 - Jun</t>
  </si>
  <si>
    <t>1995 - Jul</t>
  </si>
  <si>
    <t>1995 - Aug</t>
  </si>
  <si>
    <t>1995 - Sep</t>
  </si>
  <si>
    <t>1995 - Oct</t>
  </si>
  <si>
    <t>1995 - Nov</t>
  </si>
  <si>
    <t>1995 - Dec</t>
  </si>
  <si>
    <t>1996 - Jan</t>
  </si>
  <si>
    <t>1996 - Feb</t>
  </si>
  <si>
    <t>1996 - Mar</t>
  </si>
  <si>
    <t>1996 - Apr</t>
  </si>
  <si>
    <t>1996 - May</t>
  </si>
  <si>
    <t>1996 - Jun</t>
  </si>
  <si>
    <t>1996 - Jul</t>
  </si>
  <si>
    <t>1996 - Aug</t>
  </si>
  <si>
    <t>1996 - Sep</t>
  </si>
  <si>
    <t>1996 - Oct</t>
  </si>
  <si>
    <t>1996 - Nov</t>
  </si>
  <si>
    <t>1996 - Dec</t>
  </si>
  <si>
    <t>1997 - Jan</t>
  </si>
  <si>
    <t>1997 - Feb</t>
  </si>
  <si>
    <t>1997 - Mar</t>
  </si>
  <si>
    <t>1997 - Apr</t>
  </si>
  <si>
    <t>1997 - May</t>
  </si>
  <si>
    <t>1997 - Jun</t>
  </si>
  <si>
    <t>1997 - Jul</t>
  </si>
  <si>
    <t>1997 - Aug</t>
  </si>
  <si>
    <t>1997 - Sep</t>
  </si>
  <si>
    <t>1997 - Oct</t>
  </si>
  <si>
    <t>1997 - Nov</t>
  </si>
  <si>
    <t>1997 - Dec</t>
  </si>
  <si>
    <t>1998 - Jan</t>
  </si>
  <si>
    <t>1998 - Feb</t>
  </si>
  <si>
    <t>1998 - Mar</t>
  </si>
  <si>
    <t>1998 - Apr</t>
  </si>
  <si>
    <t>1998 - May</t>
  </si>
  <si>
    <t>1998 - Jun</t>
  </si>
  <si>
    <t>1998 - Jul</t>
  </si>
  <si>
    <t>1998 - Aug</t>
  </si>
  <si>
    <t>1998 - Sep</t>
  </si>
  <si>
    <t>1998 - Oct</t>
  </si>
  <si>
    <t>1998 - Nov</t>
  </si>
  <si>
    <t>1998 - Dec</t>
  </si>
  <si>
    <t>1999 - Jan</t>
  </si>
  <si>
    <t>1999 - Feb</t>
  </si>
  <si>
    <t>1999 - Mar</t>
  </si>
  <si>
    <t>1999 - Apr</t>
  </si>
  <si>
    <t>1999 - May</t>
  </si>
  <si>
    <t>1999 - Jun</t>
  </si>
  <si>
    <t>1999 - Jul</t>
  </si>
  <si>
    <t>1999 - Aug</t>
  </si>
  <si>
    <t>1999 - Sep</t>
  </si>
  <si>
    <t>1999 - Oct</t>
  </si>
  <si>
    <t>1999 - Nov</t>
  </si>
  <si>
    <t>1999 - Dec</t>
  </si>
  <si>
    <t>2000 - Jan</t>
  </si>
  <si>
    <t>2000 - Feb</t>
  </si>
  <si>
    <t>2000 - Mar</t>
  </si>
  <si>
    <t>2000 - Apr</t>
  </si>
  <si>
    <t>2000 - May</t>
  </si>
  <si>
    <t>2000 - Jun</t>
  </si>
  <si>
    <t>2000 - Jul</t>
  </si>
  <si>
    <t>2000 - Aug</t>
  </si>
  <si>
    <t>2000 - Sep</t>
  </si>
  <si>
    <t>2000 - Oct</t>
  </si>
  <si>
    <t>2000 - Nov</t>
  </si>
  <si>
    <t>2000 - Dec</t>
  </si>
  <si>
    <t>2001 - Jan</t>
  </si>
  <si>
    <t>2001 - Feb</t>
  </si>
  <si>
    <t>2001 - Mar</t>
  </si>
  <si>
    <t>2001 - Apr</t>
  </si>
  <si>
    <t>2001 - May</t>
  </si>
  <si>
    <t>2001 - Jun</t>
  </si>
  <si>
    <t>2001 - Jul</t>
  </si>
  <si>
    <t>2001 - Aug</t>
  </si>
  <si>
    <t>2001 - Sep</t>
  </si>
  <si>
    <t>2001 - Oct</t>
  </si>
  <si>
    <t>2001 - Nov</t>
  </si>
  <si>
    <t>2001 - Dec</t>
  </si>
  <si>
    <t>2002 - Jan</t>
  </si>
  <si>
    <t>2002 - Feb</t>
  </si>
  <si>
    <t>2002 - Mar</t>
  </si>
  <si>
    <t>2002 - Apr</t>
  </si>
  <si>
    <t>2002 - May</t>
  </si>
  <si>
    <t>2002 - Jun</t>
  </si>
  <si>
    <t>2002 - Jul</t>
  </si>
  <si>
    <t>2002 - Aug</t>
  </si>
  <si>
    <t>2002 - Sep</t>
  </si>
  <si>
    <t>2002 - Oct</t>
  </si>
  <si>
    <t>2002 - Nov</t>
  </si>
  <si>
    <t>2002 - Dec</t>
  </si>
  <si>
    <t>2003 - Jan</t>
  </si>
  <si>
    <t>2003 - Feb</t>
  </si>
  <si>
    <t>2003 - Mar</t>
  </si>
  <si>
    <t>2003 - Apr</t>
  </si>
  <si>
    <t>2003 - May</t>
  </si>
  <si>
    <t>2003 - Jun</t>
  </si>
  <si>
    <t>2003 - Jul</t>
  </si>
  <si>
    <t>2003 - Aug</t>
  </si>
  <si>
    <t>2003 - Sep</t>
  </si>
  <si>
    <t>2003 - Oct</t>
  </si>
  <si>
    <t>2003 - Nov</t>
  </si>
  <si>
    <t>2003 - Dec</t>
  </si>
  <si>
    <t>2004 - Jan</t>
  </si>
  <si>
    <t>2004 - Feb</t>
  </si>
  <si>
    <t>2004 - Mar</t>
  </si>
  <si>
    <t>2004 - Apr</t>
  </si>
  <si>
    <t>2004 - May</t>
  </si>
  <si>
    <t>2004 - Jun</t>
  </si>
  <si>
    <t>2004 - Jul</t>
  </si>
  <si>
    <t>2004 - Aug</t>
  </si>
  <si>
    <t>2004 - Sep</t>
  </si>
  <si>
    <t>2004 - Oct</t>
  </si>
  <si>
    <t>2004 - Nov</t>
  </si>
  <si>
    <t>2004 - Dec</t>
  </si>
  <si>
    <t>2005 - Jan</t>
  </si>
  <si>
    <t>2005 - Feb</t>
  </si>
  <si>
    <t>2005 - Mar</t>
  </si>
  <si>
    <t>2005 - Apr</t>
  </si>
  <si>
    <t>2005 - May</t>
  </si>
  <si>
    <t>2005 - Jun</t>
  </si>
  <si>
    <t>2005 - Jul</t>
  </si>
  <si>
    <t>2005 - Aug</t>
  </si>
  <si>
    <t>2005 - Sep</t>
  </si>
  <si>
    <t>2005 - Oct</t>
  </si>
  <si>
    <t>2005 - Nov</t>
  </si>
  <si>
    <t>2005 - Dec</t>
  </si>
  <si>
    <t>2006 - Jan</t>
  </si>
  <si>
    <t>2006 - Feb</t>
  </si>
  <si>
    <t>2006 - Mar</t>
  </si>
  <si>
    <t>2006 - Apr</t>
  </si>
  <si>
    <t>2006 - May</t>
  </si>
  <si>
    <t>2006 - Jun</t>
  </si>
  <si>
    <t>2006 - Jul</t>
  </si>
  <si>
    <t>2006 - Aug</t>
  </si>
  <si>
    <t>2006 - Sep</t>
  </si>
  <si>
    <t>2006 - Oct</t>
  </si>
  <si>
    <t>2006 - Nov</t>
  </si>
  <si>
    <t>2006 - Dec</t>
  </si>
  <si>
    <t>2007 - Jan</t>
  </si>
  <si>
    <t>2007 - Feb</t>
  </si>
  <si>
    <t>2007 - Mar</t>
  </si>
  <si>
    <t>2007 - Apr</t>
  </si>
  <si>
    <t>2007 - May</t>
  </si>
  <si>
    <t>2007 - Jun</t>
  </si>
  <si>
    <t>2007 - Jul</t>
  </si>
  <si>
    <t>2007 - Aug</t>
  </si>
  <si>
    <t>2007 - Sep</t>
  </si>
  <si>
    <t>2007 - Oct</t>
  </si>
  <si>
    <t>2007 - Nov</t>
  </si>
  <si>
    <t>2007 - Dec</t>
  </si>
  <si>
    <t>2008 - Jan</t>
  </si>
  <si>
    <t>2008 - Feb</t>
  </si>
  <si>
    <t>2008 - Mar</t>
  </si>
  <si>
    <t>2008 - Apr</t>
  </si>
  <si>
    <t>2008 - May</t>
  </si>
  <si>
    <t>2008 - Jun</t>
  </si>
  <si>
    <t>2008 - Jul</t>
  </si>
  <si>
    <t>2008 - Aug</t>
  </si>
  <si>
    <t>2008 - Sep</t>
  </si>
  <si>
    <t>2008 - Oct</t>
  </si>
  <si>
    <t>2008 - Nov</t>
  </si>
  <si>
    <t>2008 - Dec</t>
  </si>
  <si>
    <t>2009 - Jan</t>
  </si>
  <si>
    <t>2009 - Feb</t>
  </si>
  <si>
    <t>2009 - Mar</t>
  </si>
  <si>
    <t>2009 - Apr</t>
  </si>
  <si>
    <t>2009 - May</t>
  </si>
  <si>
    <t>2009 - Jun</t>
  </si>
  <si>
    <t>2009 - Jul</t>
  </si>
  <si>
    <t>2009 - Aug</t>
  </si>
  <si>
    <t>2009 - Sep</t>
  </si>
  <si>
    <t>2009 - Oct</t>
  </si>
  <si>
    <t>2009 - Nov</t>
  </si>
  <si>
    <t>2009 - Dec</t>
  </si>
  <si>
    <t>2010 - Jan</t>
  </si>
  <si>
    <t>2010 - Feb</t>
  </si>
  <si>
    <t>2010 - Mar</t>
  </si>
  <si>
    <t>2010 - Apr</t>
  </si>
  <si>
    <t>2010 - May</t>
  </si>
  <si>
    <t>2010 - Jun</t>
  </si>
  <si>
    <t>2010 - Jul</t>
  </si>
  <si>
    <t>2010 - Aug</t>
  </si>
  <si>
    <t>2010 - Sep</t>
  </si>
  <si>
    <t>2010 - Oct</t>
  </si>
  <si>
    <t>2010 - Nov</t>
  </si>
  <si>
    <t>2010 - Dec</t>
  </si>
  <si>
    <t>2011 - Jan</t>
  </si>
  <si>
    <t>2011 - Feb</t>
  </si>
  <si>
    <t>2011 - Mar</t>
  </si>
  <si>
    <t>2011 - Apr</t>
  </si>
  <si>
    <t>2011 - May</t>
  </si>
  <si>
    <t>2011 - Jun</t>
  </si>
  <si>
    <t>2011 - Jul</t>
  </si>
  <si>
    <t>2011 - Aug</t>
  </si>
  <si>
    <t>2011 - Sep</t>
  </si>
  <si>
    <t>2011 - Oct</t>
  </si>
  <si>
    <t>2011 - Nov</t>
  </si>
  <si>
    <t>2011 - Dec</t>
  </si>
  <si>
    <t>2012 - Jan</t>
  </si>
  <si>
    <t>2012 - Feb</t>
  </si>
  <si>
    <t>2012 - Mar</t>
  </si>
  <si>
    <t>2012 - Apr</t>
  </si>
  <si>
    <t>2012 - May</t>
  </si>
  <si>
    <t>2012 - Jun</t>
  </si>
  <si>
    <t>2012 - Jul</t>
  </si>
  <si>
    <t>2012 - Aug</t>
  </si>
  <si>
    <t>2012 - Sep</t>
  </si>
  <si>
    <t>2012 - Oct</t>
  </si>
  <si>
    <t>2012 - Nov</t>
  </si>
  <si>
    <t>2012 - Dec</t>
  </si>
  <si>
    <t>2013 - Jan</t>
  </si>
  <si>
    <t>2013 - Feb</t>
  </si>
  <si>
    <t>2013 - Mar</t>
  </si>
  <si>
    <t>2013 - Apr</t>
  </si>
  <si>
    <t>2013 - May</t>
  </si>
  <si>
    <t>2013 - Jun</t>
  </si>
  <si>
    <t>2013 - Jul</t>
  </si>
  <si>
    <t>2013 - Aug</t>
  </si>
  <si>
    <t>2013 - Sep</t>
  </si>
  <si>
    <t>2013 - Oct</t>
  </si>
  <si>
    <t>2013 - Nov</t>
  </si>
  <si>
    <t>2013 - Dec</t>
  </si>
  <si>
    <t>2014 - Jan</t>
  </si>
  <si>
    <t>2014 - Feb</t>
  </si>
  <si>
    <t>2014 - Mar</t>
  </si>
  <si>
    <t>2014 - Apr</t>
  </si>
  <si>
    <t>2014 - May</t>
  </si>
  <si>
    <t>2014 - Jun</t>
  </si>
  <si>
    <t>2014 - Jul</t>
  </si>
  <si>
    <t>2014 - Aug</t>
  </si>
  <si>
    <t>2014 - Sep</t>
  </si>
  <si>
    <t>2014 - Oct</t>
  </si>
  <si>
    <t>2014 - Nov</t>
  </si>
  <si>
    <t>2014 - Dec</t>
  </si>
  <si>
    <t>2015 - Jan</t>
  </si>
  <si>
    <t>2015 - Feb</t>
  </si>
  <si>
    <t>2015 - Mar</t>
  </si>
  <si>
    <t>2015 - Apr</t>
  </si>
  <si>
    <t>2015 - May</t>
  </si>
  <si>
    <t>2015 - Jun</t>
  </si>
  <si>
    <t>2015 - Jul</t>
  </si>
  <si>
    <t>2015 - Aug</t>
  </si>
  <si>
    <t>2015 - Sep</t>
  </si>
  <si>
    <t>2015 - Oct</t>
  </si>
  <si>
    <t>2015 - Nov</t>
  </si>
  <si>
    <t>2015 - Dec</t>
  </si>
  <si>
    <t>2016 - Jan</t>
  </si>
  <si>
    <t>2016 - Feb</t>
  </si>
  <si>
    <t>2016 - Mar</t>
  </si>
  <si>
    <t>2016 - Apr</t>
  </si>
  <si>
    <t>2016 - May</t>
  </si>
  <si>
    <t>2016 - Jun</t>
  </si>
  <si>
    <t>2016 - Jul</t>
  </si>
  <si>
    <t>2016 - Aug</t>
  </si>
  <si>
    <t>2016 - Sep</t>
  </si>
  <si>
    <t>2016 - Oct</t>
  </si>
  <si>
    <t>2016 - Nov</t>
  </si>
  <si>
    <t>2016 - Dec</t>
  </si>
  <si>
    <t>2017 - Jan</t>
  </si>
  <si>
    <t>2017 - Feb</t>
  </si>
  <si>
    <t>2017 - Mar</t>
  </si>
  <si>
    <t>2017 - Apr</t>
  </si>
  <si>
    <t>2017 - May</t>
  </si>
  <si>
    <t>2017 - Jun</t>
  </si>
  <si>
    <t>2017 - Jul</t>
  </si>
  <si>
    <t>2017 - Aug</t>
  </si>
  <si>
    <t>2017 - Sep</t>
  </si>
  <si>
    <t>2017 - Oct</t>
  </si>
  <si>
    <t>2017 - Nov</t>
  </si>
  <si>
    <t>2017 - Dec</t>
  </si>
  <si>
    <t>2018 - Jan</t>
  </si>
  <si>
    <t>2018 - Feb</t>
  </si>
  <si>
    <t>2018 - Mar</t>
  </si>
  <si>
    <t xml:space="preserve">2018 - Apr </t>
  </si>
  <si>
    <t>2018 - May</t>
  </si>
  <si>
    <t>2018 - Jun</t>
  </si>
  <si>
    <t>2018 - Jul</t>
  </si>
  <si>
    <t>2018 - Aug</t>
  </si>
  <si>
    <t>2018 - Sep</t>
  </si>
  <si>
    <t>2018 - Oct</t>
  </si>
  <si>
    <t>2018 - Nov</t>
  </si>
  <si>
    <t>2018 - Dec</t>
  </si>
  <si>
    <t>2019 - Jan</t>
  </si>
  <si>
    <t>2019 - Feb</t>
  </si>
  <si>
    <t>2019 - Mar</t>
  </si>
  <si>
    <t>2019 - Apr</t>
  </si>
  <si>
    <t>2019 - May</t>
  </si>
  <si>
    <t>2019 - Jun</t>
  </si>
  <si>
    <t>2019 - Jul</t>
  </si>
  <si>
    <t>2019 - Aug</t>
  </si>
  <si>
    <t>2019 - Sep</t>
  </si>
  <si>
    <t>2019 - Oct</t>
  </si>
  <si>
    <t>2019 - Nov</t>
  </si>
  <si>
    <t>2019 - Dec</t>
  </si>
  <si>
    <t>2020 - Jan</t>
  </si>
  <si>
    <t>2020 - Feb</t>
  </si>
  <si>
    <t>2020 - Mar</t>
  </si>
  <si>
    <t>2020 - Apr</t>
  </si>
  <si>
    <t>2020 - May</t>
  </si>
  <si>
    <t>2020 - Jun</t>
  </si>
  <si>
    <t>2020 - Jul</t>
  </si>
  <si>
    <t>2020 - Aug</t>
  </si>
  <si>
    <t>2020 - Sep</t>
  </si>
  <si>
    <t>2020 - Oct</t>
  </si>
  <si>
    <t>2020 - Nov</t>
  </si>
  <si>
    <t>2020 - Dec</t>
  </si>
  <si>
    <t>2021 - Jan</t>
  </si>
  <si>
    <t>2021 - Feb</t>
  </si>
  <si>
    <t>2021 - Mar</t>
  </si>
  <si>
    <t>2021 - Apr</t>
  </si>
  <si>
    <t>2021 - May</t>
  </si>
  <si>
    <t>2021 - June</t>
  </si>
  <si>
    <t>2021 - July</t>
  </si>
  <si>
    <t>2021 - Aug</t>
  </si>
  <si>
    <t>2021 - Sep</t>
  </si>
  <si>
    <t>2021 - Oct</t>
  </si>
  <si>
    <t>2021 - Nov</t>
  </si>
  <si>
    <t>2021 - Dec</t>
  </si>
  <si>
    <t>2022 - Jan</t>
  </si>
  <si>
    <t>2022 - Feb</t>
  </si>
  <si>
    <t>2022 - Mar</t>
  </si>
  <si>
    <t>2022 - Apr</t>
  </si>
  <si>
    <t>2022 - May</t>
  </si>
  <si>
    <t>2022 - Jun</t>
  </si>
  <si>
    <t>2022 - Jul</t>
  </si>
  <si>
    <t>2022 - Aug</t>
  </si>
  <si>
    <t>2022 - Sep</t>
  </si>
  <si>
    <t>2022 - Oct</t>
  </si>
  <si>
    <t>2022 - Nov</t>
  </si>
  <si>
    <t>2022 - Dec</t>
  </si>
  <si>
    <t>2023 - Jan</t>
  </si>
  <si>
    <t>2023 - Feb</t>
  </si>
  <si>
    <t>2023 - Mar</t>
  </si>
  <si>
    <t>2023 - Apr</t>
  </si>
  <si>
    <t>2023 - May</t>
  </si>
  <si>
    <t>2023 - Jun</t>
  </si>
  <si>
    <t>2023 - Jul</t>
  </si>
  <si>
    <t>2023 - Aug</t>
  </si>
  <si>
    <t>2023 - Sep</t>
  </si>
  <si>
    <t>2023 - Oct</t>
  </si>
  <si>
    <t>2023 - Nov</t>
  </si>
  <si>
    <t>2023 - Dec</t>
  </si>
  <si>
    <t>2024 - Jan</t>
  </si>
  <si>
    <t>2024 - Jul</t>
  </si>
  <si>
    <t>2024 - Aug</t>
  </si>
  <si>
    <t>2024 - Sep</t>
  </si>
  <si>
    <t>2024 - Oct</t>
  </si>
  <si>
    <t>2024 - Nov</t>
  </si>
  <si>
    <t>2024 - Dec</t>
  </si>
  <si>
    <t>2025 - Jan</t>
  </si>
  <si>
    <t>2025 - Feb</t>
  </si>
  <si>
    <t>2025 - Mar</t>
  </si>
  <si>
    <t>2025 - Apr</t>
  </si>
  <si>
    <t>2025 - May</t>
  </si>
  <si>
    <t>2025 - Jun</t>
  </si>
  <si>
    <t>2025 - Jul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</si>
</sst>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0.000"/>
    <numFmt numFmtId="178" formatCode="General_)"/>
    <numFmt numFmtId="179" formatCode="\ [$-409]d\ mmmm\ yyyy"/>
    <numFmt numFmtId="180" formatCode="mmm\ yy"/>
    <numFmt numFmtId="181" formatCode="0.0"/>
    <numFmt numFmtId="182" formatCode="dd\ mmmm\ yyyy"/>
  </numFmts>
  <fonts count="57">
    <font>
      <sz val="11"/>
      <color theme="1"/>
      <name val="黑体"/>
      <charset val="134"/>
      <scheme val="minor"/>
    </font>
    <font>
      <sz val="10"/>
      <name val="Arial"/>
      <charset val="134"/>
    </font>
    <font>
      <b/>
      <sz val="10"/>
      <color rgb="FFC00000"/>
      <name val="Arial"/>
      <charset val="134"/>
    </font>
    <font>
      <b/>
      <sz val="10"/>
      <name val="Arial"/>
      <charset val="134"/>
    </font>
    <font>
      <sz val="8"/>
      <name val="Arial"/>
      <charset val="134"/>
    </font>
    <font>
      <b/>
      <sz val="20"/>
      <color theme="1"/>
      <name val="Arial"/>
      <charset val="134"/>
    </font>
    <font>
      <b/>
      <i/>
      <sz val="12"/>
      <color rgb="FFB4BCBE"/>
      <name val="Arial Black"/>
      <charset val="134"/>
    </font>
    <font>
      <b/>
      <i/>
      <sz val="14"/>
      <color rgb="FF595959"/>
      <name val="Arial Black"/>
      <charset val="134"/>
    </font>
    <font>
      <b/>
      <sz val="14"/>
      <color indexed="8"/>
      <name val="Courier"/>
      <charset val="134"/>
    </font>
    <font>
      <b/>
      <sz val="14"/>
      <color indexed="8"/>
      <name val="Helv"/>
      <charset val="134"/>
    </font>
    <font>
      <b/>
      <sz val="14"/>
      <name val="Helv"/>
      <charset val="134"/>
    </font>
    <font>
      <b/>
      <sz val="11"/>
      <color theme="1"/>
      <name val="黑体"/>
      <charset val="134"/>
      <scheme val="major"/>
    </font>
    <font>
      <b/>
      <i/>
      <sz val="24"/>
      <name val="Helvetica"/>
      <charset val="134"/>
    </font>
    <font>
      <b/>
      <i/>
      <sz val="14"/>
      <name val="Helvetica"/>
      <charset val="134"/>
    </font>
    <font>
      <b/>
      <i/>
      <sz val="18"/>
      <name val="Helvetica"/>
      <charset val="134"/>
    </font>
    <font>
      <sz val="10"/>
      <name val="Times New Roman"/>
      <charset val="134"/>
    </font>
    <font>
      <b/>
      <sz val="10"/>
      <color theme="0"/>
      <name val="Arial"/>
      <charset val="134"/>
    </font>
    <font>
      <sz val="8"/>
      <color theme="8" tint="-0.499984740745262"/>
      <name val="Arial"/>
      <charset val="134"/>
    </font>
    <font>
      <b/>
      <sz val="9"/>
      <name val="Arial"/>
      <charset val="134"/>
    </font>
    <font>
      <sz val="9"/>
      <name val="Arial"/>
      <charset val="134"/>
    </font>
    <font>
      <b/>
      <sz val="8"/>
      <name val="Arial"/>
      <charset val="134"/>
    </font>
    <font>
      <b/>
      <sz val="10"/>
      <color theme="1"/>
      <name val="Arial"/>
      <charset val="134"/>
    </font>
    <font>
      <b/>
      <sz val="11"/>
      <name val="Arial"/>
      <charset val="134"/>
    </font>
    <font>
      <b/>
      <u/>
      <sz val="8"/>
      <color indexed="9"/>
      <name val="Arial"/>
      <charset val="134"/>
    </font>
    <font>
      <sz val="20"/>
      <color rgb="FFC00000"/>
      <name val="Arial"/>
      <charset val="134"/>
    </font>
    <font>
      <sz val="10"/>
      <color rgb="FF58595B"/>
      <name val="Arial"/>
      <charset val="134"/>
    </font>
    <font>
      <u/>
      <sz val="11"/>
      <color theme="10"/>
      <name val="黑体"/>
      <charset val="134"/>
      <scheme val="minor"/>
    </font>
    <font>
      <u/>
      <sz val="10"/>
      <color theme="10"/>
      <name val="Arial"/>
      <charset val="134"/>
    </font>
    <font>
      <sz val="7"/>
      <color theme="1"/>
      <name val="Arial"/>
      <charset val="134"/>
    </font>
    <font>
      <u/>
      <sz val="10"/>
      <color indexed="12"/>
      <name val="Arial"/>
      <charset val="134"/>
    </font>
    <font>
      <sz val="11"/>
      <color theme="1"/>
      <name val="黑体"/>
      <charset val="134"/>
      <scheme val="minor"/>
    </font>
    <font>
      <u/>
      <sz val="11"/>
      <color rgb="FF800080"/>
      <name val="黑体"/>
      <charset val="0"/>
      <scheme val="minor"/>
    </font>
    <font>
      <sz val="11"/>
      <color rgb="FFFF0000"/>
      <name val="黑体"/>
      <charset val="0"/>
      <scheme val="minor"/>
    </font>
    <font>
      <b/>
      <sz val="18"/>
      <color theme="3"/>
      <name val="黑体"/>
      <charset val="134"/>
      <scheme val="minor"/>
    </font>
    <font>
      <i/>
      <sz val="11"/>
      <color rgb="FF7F7F7F"/>
      <name val="黑体"/>
      <charset val="0"/>
      <scheme val="minor"/>
    </font>
    <font>
      <b/>
      <sz val="15"/>
      <color theme="3"/>
      <name val="黑体"/>
      <charset val="134"/>
      <scheme val="minor"/>
    </font>
    <font>
      <b/>
      <sz val="13"/>
      <color theme="3"/>
      <name val="黑体"/>
      <charset val="134"/>
      <scheme val="minor"/>
    </font>
    <font>
      <b/>
      <sz val="11"/>
      <color theme="3"/>
      <name val="黑体"/>
      <charset val="134"/>
      <scheme val="minor"/>
    </font>
    <font>
      <sz val="11"/>
      <color rgb="FF3F3F76"/>
      <name val="黑体"/>
      <charset val="0"/>
      <scheme val="minor"/>
    </font>
    <font>
      <b/>
      <sz val="11"/>
      <color rgb="FF3F3F3F"/>
      <name val="黑体"/>
      <charset val="0"/>
      <scheme val="minor"/>
    </font>
    <font>
      <b/>
      <sz val="11"/>
      <color rgb="FFFA7D00"/>
      <name val="黑体"/>
      <charset val="0"/>
      <scheme val="minor"/>
    </font>
    <font>
      <b/>
      <sz val="11"/>
      <color rgb="FFFFFFFF"/>
      <name val="黑体"/>
      <charset val="0"/>
      <scheme val="minor"/>
    </font>
    <font>
      <sz val="11"/>
      <color rgb="FFFA7D00"/>
      <name val="黑体"/>
      <charset val="0"/>
      <scheme val="minor"/>
    </font>
    <font>
      <b/>
      <sz val="11"/>
      <color theme="1"/>
      <name val="黑体"/>
      <charset val="0"/>
      <scheme val="minor"/>
    </font>
    <font>
      <sz val="11"/>
      <color rgb="FF006100"/>
      <name val="黑体"/>
      <charset val="0"/>
      <scheme val="minor"/>
    </font>
    <font>
      <sz val="11"/>
      <color rgb="FF9C0006"/>
      <name val="黑体"/>
      <charset val="0"/>
      <scheme val="minor"/>
    </font>
    <font>
      <sz val="11"/>
      <color rgb="FF9C6500"/>
      <name val="黑体"/>
      <charset val="0"/>
      <scheme val="minor"/>
    </font>
    <font>
      <sz val="11"/>
      <color theme="0"/>
      <name val="黑体"/>
      <charset val="0"/>
      <scheme val="minor"/>
    </font>
    <font>
      <sz val="11"/>
      <color theme="1"/>
      <name val="黑体"/>
      <charset val="0"/>
      <scheme val="minor"/>
    </font>
    <font>
      <sz val="8"/>
      <color rgb="FF00AB4E"/>
      <name val="Arial"/>
      <charset val="134"/>
    </font>
    <font>
      <sz val="10"/>
      <color theme="1"/>
      <name val="Arial"/>
      <charset val="134"/>
    </font>
    <font>
      <b/>
      <sz val="10"/>
      <name val="Arial"/>
      <charset val="238"/>
    </font>
    <font>
      <b/>
      <sz val="12"/>
      <color theme="0"/>
      <name val="Arial"/>
      <charset val="134"/>
    </font>
    <font>
      <b/>
      <sz val="9"/>
      <color theme="0"/>
      <name val="Arial"/>
      <charset val="134"/>
    </font>
    <font>
      <sz val="10"/>
      <name val="Arial"/>
      <charset val="238"/>
    </font>
    <font>
      <sz val="7"/>
      <color theme="1"/>
      <name val="Arial"/>
      <charset val="238"/>
    </font>
    <font>
      <sz val="10"/>
      <color theme="0"/>
      <name val="Arial"/>
      <charset val="134"/>
    </font>
  </fonts>
  <fills count="40">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8DCDB"/>
        <bgColor indexed="64"/>
      </patternFill>
    </fill>
    <fill>
      <patternFill patternType="solid">
        <fgColor rgb="FF7F8080"/>
        <bgColor indexed="64"/>
      </patternFill>
    </fill>
    <fill>
      <patternFill patternType="solid">
        <fgColor rgb="FF707C8A"/>
        <bgColor indexed="64"/>
      </patternFill>
    </fill>
    <fill>
      <patternFill patternType="solid">
        <fgColor theme="0" tint="-0.14996795556505"/>
        <bgColor indexed="64"/>
      </patternFill>
    </fill>
  </fills>
  <borders count="15">
    <border>
      <left/>
      <right/>
      <top/>
      <bottom/>
      <diagonal/>
    </border>
    <border>
      <left/>
      <right/>
      <top/>
      <bottom style="thin">
        <color rgb="FF7F8080"/>
      </bottom>
      <diagonal/>
    </border>
    <border>
      <left/>
      <right/>
      <top/>
      <bottom style="hair">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rgb="FF7F7F7F"/>
      </bottom>
      <diagonal/>
    </border>
    <border>
      <left/>
      <right/>
      <top style="thin">
        <color rgb="FF7F7F7F"/>
      </top>
      <bottom style="thin">
        <color rgb="FF7F7F7F"/>
      </bottom>
      <diagonal/>
    </border>
    <border>
      <left/>
      <right/>
      <top style="thin">
        <color rgb="FF7F7F7F"/>
      </top>
      <bottom style="medium">
        <color rgb="FF7F7F7F"/>
      </bottom>
      <diagonal/>
    </border>
  </borders>
  <cellStyleXfs count="83">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26" fillId="0" borderId="0" applyNumberFormat="0" applyFill="0" applyBorder="0" applyAlignment="0" applyProtection="0"/>
    <xf numFmtId="0" fontId="31" fillId="0" borderId="0" applyNumberFormat="0" applyFill="0" applyBorder="0" applyAlignment="0" applyProtection="0">
      <alignment vertical="center"/>
    </xf>
    <xf numFmtId="0" fontId="30" fillId="5" borderId="4"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5" applyNumberFormat="0" applyFill="0" applyAlignment="0" applyProtection="0">
      <alignment vertical="center"/>
    </xf>
    <xf numFmtId="0" fontId="36" fillId="0" borderId="5" applyNumberFormat="0" applyFill="0" applyAlignment="0" applyProtection="0">
      <alignment vertical="center"/>
    </xf>
    <xf numFmtId="0" fontId="37" fillId="0" borderId="6" applyNumberFormat="0" applyFill="0" applyAlignment="0" applyProtection="0">
      <alignment vertical="center"/>
    </xf>
    <xf numFmtId="0" fontId="37" fillId="0" borderId="0" applyNumberFormat="0" applyFill="0" applyBorder="0" applyAlignment="0" applyProtection="0">
      <alignment vertical="center"/>
    </xf>
    <xf numFmtId="0" fontId="38" fillId="6" borderId="7" applyNumberFormat="0" applyAlignment="0" applyProtection="0">
      <alignment vertical="center"/>
    </xf>
    <xf numFmtId="0" fontId="39" fillId="7" borderId="8" applyNumberFormat="0" applyAlignment="0" applyProtection="0">
      <alignment vertical="center"/>
    </xf>
    <xf numFmtId="0" fontId="40" fillId="7" borderId="7" applyNumberFormat="0" applyAlignment="0" applyProtection="0">
      <alignment vertical="center"/>
    </xf>
    <xf numFmtId="0" fontId="41" fillId="8" borderId="9" applyNumberFormat="0" applyAlignment="0" applyProtection="0">
      <alignment vertical="center"/>
    </xf>
    <xf numFmtId="0" fontId="42" fillId="0" borderId="10" applyNumberFormat="0" applyFill="0" applyAlignment="0" applyProtection="0">
      <alignment vertical="center"/>
    </xf>
    <xf numFmtId="0" fontId="43" fillId="0" borderId="11" applyNumberFormat="0" applyFill="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8"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xf numFmtId="176" fontId="1" fillId="0" borderId="0" applyFont="0" applyFill="0" applyBorder="0" applyAlignment="0" applyProtection="0"/>
    <xf numFmtId="176" fontId="0" fillId="0" borderId="0" applyFont="0" applyFill="0" applyBorder="0" applyAlignment="0" applyProtection="0"/>
    <xf numFmtId="0" fontId="27" fillId="0" borderId="0" applyNumberFormat="0" applyFill="0" applyBorder="0" applyAlignment="0" applyProtection="0"/>
    <xf numFmtId="0" fontId="1" fillId="4" borderId="0">
      <alignment horizontal="left" vertical="center"/>
    </xf>
    <xf numFmtId="0" fontId="49" fillId="36" borderId="0">
      <alignment horizontal="center" vertical="center"/>
    </xf>
    <xf numFmtId="0" fontId="1" fillId="0" borderId="0"/>
    <xf numFmtId="0" fontId="1" fillId="0" borderId="0"/>
    <xf numFmtId="0" fontId="1" fillId="0" borderId="0"/>
    <xf numFmtId="3" fontId="50" fillId="0" borderId="0">
      <alignment horizontal="left" vertical="top" wrapText="1"/>
    </xf>
    <xf numFmtId="0" fontId="1" fillId="0" borderId="0"/>
    <xf numFmtId="0" fontId="1" fillId="0" borderId="0"/>
    <xf numFmtId="0" fontId="1" fillId="0" borderId="0"/>
    <xf numFmtId="0" fontId="50" fillId="0" borderId="0">
      <alignment horizontal="left" vertical="center" wrapText="1"/>
    </xf>
    <xf numFmtId="0" fontId="1" fillId="0" borderId="0"/>
    <xf numFmtId="0" fontId="0" fillId="0" borderId="0"/>
    <xf numFmtId="3" fontId="1" fillId="0" borderId="0">
      <alignment horizontal="left" vertical="top" wrapText="1"/>
    </xf>
    <xf numFmtId="0" fontId="1" fillId="0" borderId="0"/>
    <xf numFmtId="0" fontId="1" fillId="0" borderId="0"/>
    <xf numFmtId="0" fontId="1" fillId="0" borderId="0"/>
    <xf numFmtId="9" fontId="50" fillId="0" borderId="0" applyFont="0" applyFill="0" applyBorder="0" applyAlignment="0" applyProtection="0"/>
    <xf numFmtId="0" fontId="51" fillId="0" borderId="0" applyNumberFormat="0">
      <alignment horizontal="left" wrapText="1"/>
    </xf>
    <xf numFmtId="0" fontId="51" fillId="0" borderId="12">
      <alignment horizontal="left" wrapText="1"/>
    </xf>
    <xf numFmtId="0" fontId="52" fillId="37" borderId="0" applyNumberFormat="0">
      <alignment horizontal="left" vertical="center"/>
    </xf>
    <xf numFmtId="0" fontId="53" fillId="38" borderId="0" applyNumberFormat="0">
      <alignment horizontal="left" vertical="center"/>
    </xf>
    <xf numFmtId="0" fontId="28" fillId="39" borderId="0" applyNumberFormat="0">
      <alignment horizontal="left" vertical="center"/>
    </xf>
    <xf numFmtId="3" fontId="51" fillId="0" borderId="13">
      <alignment horizontal="left" vertical="center"/>
    </xf>
    <xf numFmtId="0" fontId="54" fillId="0" borderId="0" applyNumberFormat="0">
      <alignment horizontal="left" vertical="top" wrapText="1" indent="1"/>
    </xf>
    <xf numFmtId="0" fontId="54" fillId="0" borderId="0" applyNumberFormat="0">
      <alignment horizontal="left" vertical="top" wrapText="1" indent="2"/>
    </xf>
    <xf numFmtId="0" fontId="54" fillId="0" borderId="0" applyNumberFormat="0">
      <alignment horizontal="left" vertical="top" wrapText="1" indent="3"/>
    </xf>
    <xf numFmtId="0" fontId="54" fillId="0" borderId="0" applyNumberFormat="0">
      <alignment horizontal="left" vertical="top" wrapText="1" indent="4"/>
    </xf>
    <xf numFmtId="0" fontId="55" fillId="0" borderId="0" applyNumberFormat="0">
      <alignment horizontal="left" vertical="center"/>
    </xf>
    <xf numFmtId="0" fontId="55" fillId="0" borderId="0">
      <alignment horizontal="left" vertical="top"/>
    </xf>
    <xf numFmtId="0" fontId="56" fillId="37" borderId="0">
      <alignment vertical="center"/>
    </xf>
    <xf numFmtId="3" fontId="51" fillId="0" borderId="14">
      <alignment vertical="center"/>
    </xf>
  </cellStyleXfs>
  <cellXfs count="56">
    <xf numFmtId="0" fontId="0" fillId="0" borderId="0" xfId="0"/>
    <xf numFmtId="0" fontId="1" fillId="0" borderId="0" xfId="58"/>
    <xf numFmtId="0" fontId="2" fillId="0" borderId="0" xfId="58" applyFont="1" applyAlignment="1">
      <alignment horizontal="center" wrapText="1"/>
    </xf>
    <xf numFmtId="0" fontId="3" fillId="0" borderId="0" xfId="58" applyFont="1" applyAlignment="1">
      <alignment horizontal="center" wrapText="1"/>
    </xf>
    <xf numFmtId="177" fontId="1" fillId="0" borderId="0" xfId="62" applyNumberFormat="1"/>
    <xf numFmtId="177" fontId="1" fillId="0" borderId="0" xfId="58" applyNumberFormat="1"/>
    <xf numFmtId="0" fontId="4" fillId="0" borderId="0" xfId="60" applyFont="1"/>
    <xf numFmtId="0" fontId="1" fillId="0" borderId="0" xfId="60"/>
    <xf numFmtId="0" fontId="5" fillId="0" borderId="0" xfId="60" applyFont="1"/>
    <xf numFmtId="178" fontId="6" fillId="0" borderId="0" xfId="60" applyNumberFormat="1" applyFont="1" applyAlignment="1">
      <alignment horizontal="center"/>
    </xf>
    <xf numFmtId="0" fontId="7" fillId="0" borderId="0" xfId="60" applyFont="1" applyAlignment="1">
      <alignment horizontal="right"/>
    </xf>
    <xf numFmtId="0" fontId="8" fillId="0" borderId="0" xfId="60" applyFont="1"/>
    <xf numFmtId="0" fontId="9" fillId="0" borderId="0" xfId="60" applyFont="1"/>
    <xf numFmtId="0" fontId="10" fillId="0" borderId="0" xfId="60" applyFont="1"/>
    <xf numFmtId="179" fontId="11" fillId="0" borderId="0" xfId="63" applyNumberFormat="1" applyFont="1" applyAlignment="1">
      <alignment horizontal="left" vertical="center"/>
    </xf>
    <xf numFmtId="0" fontId="12" fillId="0" borderId="0" xfId="60" applyFont="1"/>
    <xf numFmtId="0" fontId="13" fillId="0" borderId="0" xfId="60" applyFont="1"/>
    <xf numFmtId="0" fontId="14" fillId="0" borderId="0" xfId="60" applyFont="1"/>
    <xf numFmtId="0" fontId="15" fillId="0" borderId="0" xfId="60" applyFont="1"/>
    <xf numFmtId="0" fontId="16" fillId="0" borderId="0" xfId="0" applyFont="1" applyAlignment="1">
      <alignment vertical="center"/>
    </xf>
    <xf numFmtId="0" fontId="1" fillId="0" borderId="1" xfId="60" applyBorder="1"/>
    <xf numFmtId="180" fontId="17" fillId="0" borderId="2" xfId="60" applyNumberFormat="1" applyFont="1" applyBorder="1" applyAlignment="1">
      <alignment horizontal="right"/>
    </xf>
    <xf numFmtId="180" fontId="18" fillId="0" borderId="1" xfId="60" applyNumberFormat="1" applyFont="1" applyBorder="1" applyAlignment="1">
      <alignment horizontal="right"/>
    </xf>
    <xf numFmtId="0" fontId="18" fillId="0" borderId="0" xfId="60" applyFont="1"/>
    <xf numFmtId="3" fontId="4" fillId="0" borderId="0" xfId="60" applyNumberFormat="1" applyFont="1"/>
    <xf numFmtId="3" fontId="19" fillId="0" borderId="0" xfId="60" applyNumberFormat="1" applyFont="1"/>
    <xf numFmtId="0" fontId="19" fillId="0" borderId="0" xfId="60" applyFont="1" applyAlignment="1">
      <alignment horizontal="left" indent="1"/>
    </xf>
    <xf numFmtId="181" fontId="19" fillId="0" borderId="0" xfId="60" applyNumberFormat="1" applyFont="1"/>
    <xf numFmtId="0" fontId="20" fillId="0" borderId="0" xfId="60" applyFont="1"/>
    <xf numFmtId="181" fontId="4" fillId="0" borderId="0" xfId="60" applyNumberFormat="1" applyFont="1"/>
    <xf numFmtId="0" fontId="21" fillId="0" borderId="0" xfId="0" applyFont="1" applyAlignment="1">
      <alignment horizontal="left" vertical="center"/>
    </xf>
    <xf numFmtId="0" fontId="22" fillId="0" borderId="1" xfId="60" applyFont="1" applyBorder="1" applyAlignment="1">
      <alignment horizontal="left" vertical="center"/>
    </xf>
    <xf numFmtId="180" fontId="20" fillId="0" borderId="1" xfId="60" applyNumberFormat="1" applyFont="1" applyBorder="1" applyAlignment="1">
      <alignment horizontal="right"/>
    </xf>
    <xf numFmtId="0" fontId="4" fillId="0" borderId="0" xfId="60" applyFont="1" applyAlignment="1">
      <alignment horizontal="right"/>
    </xf>
    <xf numFmtId="0" fontId="4" fillId="0" borderId="1" xfId="60" applyFont="1" applyBorder="1"/>
    <xf numFmtId="181" fontId="4" fillId="0" borderId="1" xfId="60" applyNumberFormat="1" applyFont="1" applyBorder="1"/>
    <xf numFmtId="0" fontId="16" fillId="0" borderId="0" xfId="0" applyFont="1" applyAlignment="1">
      <alignment horizontal="left" vertical="center"/>
    </xf>
    <xf numFmtId="0" fontId="4" fillId="2" borderId="0" xfId="60" applyFont="1" applyFill="1"/>
    <xf numFmtId="0" fontId="1" fillId="2" borderId="0" xfId="60" applyFill="1"/>
    <xf numFmtId="0" fontId="3" fillId="2" borderId="0" xfId="60" applyFont="1" applyFill="1" applyAlignment="1">
      <alignment horizontal="center"/>
    </xf>
    <xf numFmtId="0" fontId="0" fillId="0" borderId="3" xfId="0" applyBorder="1"/>
    <xf numFmtId="3" fontId="3" fillId="3" borderId="0" xfId="64" applyFont="1" applyFill="1" applyAlignment="1">
      <alignment horizontal="left" vertical="center"/>
    </xf>
    <xf numFmtId="3" fontId="1" fillId="0" borderId="0" xfId="64">
      <alignment horizontal="left" vertical="top" wrapText="1"/>
    </xf>
    <xf numFmtId="3" fontId="3" fillId="0" borderId="0" xfId="64" applyFont="1" applyAlignment="1">
      <alignment horizontal="left" vertical="center"/>
    </xf>
    <xf numFmtId="3" fontId="1" fillId="0" borderId="0" xfId="64" applyAlignment="1">
      <alignment vertical="center"/>
    </xf>
    <xf numFmtId="3" fontId="23" fillId="3" borderId="0" xfId="64" applyFont="1" applyFill="1" applyAlignment="1">
      <alignment horizontal="center" vertical="center"/>
    </xf>
    <xf numFmtId="3" fontId="24" fillId="0" borderId="0" xfId="64" applyFont="1" applyAlignment="1">
      <alignment vertical="center"/>
    </xf>
    <xf numFmtId="3" fontId="3" fillId="0" borderId="0" xfId="64" applyFont="1" applyAlignment="1">
      <alignment horizontal="left" vertical="center" indent="4"/>
    </xf>
    <xf numFmtId="182" fontId="25" fillId="0" borderId="0" xfId="64" applyNumberFormat="1" applyFont="1" applyAlignment="1">
      <alignment horizontal="left" vertical="center"/>
    </xf>
    <xf numFmtId="3" fontId="3" fillId="0" borderId="0" xfId="64" applyFont="1" applyAlignment="1">
      <alignment vertical="center" wrapText="1"/>
    </xf>
    <xf numFmtId="3" fontId="3" fillId="4" borderId="0" xfId="64" applyFont="1" applyFill="1" applyAlignment="1">
      <alignment vertical="center" wrapText="1"/>
    </xf>
    <xf numFmtId="0" fontId="1" fillId="4" borderId="0" xfId="52">
      <alignment horizontal="left" vertical="center"/>
    </xf>
    <xf numFmtId="0" fontId="26" fillId="4" borderId="0" xfId="6" applyFill="1" applyAlignment="1">
      <alignment horizontal="left" vertical="center"/>
    </xf>
    <xf numFmtId="0" fontId="27" fillId="4" borderId="0" xfId="51" applyFill="1" applyAlignment="1">
      <alignment horizontal="left" vertical="center"/>
    </xf>
    <xf numFmtId="3" fontId="28" fillId="0" borderId="0" xfId="64" applyFont="1" applyAlignment="1">
      <alignment horizontal="right" vertical="top"/>
    </xf>
    <xf numFmtId="3" fontId="29" fillId="0" borderId="0" xfId="64" applyFont="1" applyAlignment="1"/>
    <xf numFmtId="0" fontId="22" fillId="0" borderId="1" xfId="60" applyFont="1" applyBorder="1" applyAlignment="1" quotePrefix="1">
      <alignment horizontal="left" vertical="center"/>
    </xf>
  </cellXfs>
  <cellStyles count="8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Comma 3" xfId="50"/>
    <cellStyle name="Hyperlink 2" xfId="51"/>
    <cellStyle name="Hyperlink Style" xfId="52"/>
    <cellStyle name="Index Hyperlink" xfId="53"/>
    <cellStyle name="Normal 10" xfId="54"/>
    <cellStyle name="Normal 2" xfId="55"/>
    <cellStyle name="Normal 2 2" xfId="56"/>
    <cellStyle name="Normal 2 3" xfId="57"/>
    <cellStyle name="Normal 3" xfId="58"/>
    <cellStyle name="Normal 4" xfId="59"/>
    <cellStyle name="Normal 4 2" xfId="60"/>
    <cellStyle name="Normal 4 3" xfId="61"/>
    <cellStyle name="Normal 5" xfId="62"/>
    <cellStyle name="Normal 5 2" xfId="63"/>
    <cellStyle name="Normal 6" xfId="64"/>
    <cellStyle name="Normal 7" xfId="65"/>
    <cellStyle name="Normal 8" xfId="66"/>
    <cellStyle name="Normal 9" xfId="67"/>
    <cellStyle name="Percent 2" xfId="68"/>
    <cellStyle name="phx-col-head" xfId="69"/>
    <cellStyle name="phx-col-head-last" xfId="70"/>
    <cellStyle name="phx-header" xfId="71"/>
    <cellStyle name="phx-header 2" xfId="72"/>
    <cellStyle name="phx-HL-cell" xfId="73"/>
    <cellStyle name="phx-HL-row" xfId="74"/>
    <cellStyle name="phx-level1" xfId="75"/>
    <cellStyle name="phx-level2" xfId="76"/>
    <cellStyle name="phx-level3" xfId="77"/>
    <cellStyle name="phx-level4" xfId="78"/>
    <cellStyle name="phx-note" xfId="79"/>
    <cellStyle name="phx-source" xfId="80"/>
    <cellStyle name="phx-subhead" xfId="81"/>
    <cellStyle name="phx-total-row" xfId="8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7497544686702"/>
          <c:y val="0.111910471622702"/>
          <c:w val="0.840699273227264"/>
          <c:h val="0.756727950972555"/>
        </c:manualLayout>
      </c:layout>
      <c:barChart>
        <c:barDir val="col"/>
        <c:grouping val="clustered"/>
        <c:varyColors val="0"/>
        <c:ser>
          <c:idx val="1"/>
          <c:order val="1"/>
          <c:tx>
            <c:strRef>
              <c:f>"Monthly NBER Recession/Expansion: Trough Method (+1 or 0)"</c:f>
              <c:strCache>
                <c:ptCount val="1"/>
                <c:pt idx="0">
                  <c:v>Monthly NBER Recession/Expansion: Trough Method (+1 or 0)</c:v>
                </c:pt>
              </c:strCache>
            </c:strRef>
          </c:tx>
          <c:spPr>
            <a:solidFill>
              <a:schemeClr val="bg1">
                <a:lumMod val="85000"/>
              </a:schemeClr>
            </a:solidFill>
            <a:ln w="25400">
              <a:noFill/>
            </a:ln>
          </c:spPr>
          <c:invertIfNegative val="0"/>
          <c:dLbls>
            <c:delete val="1"/>
          </c:dLbls>
          <c:cat>
            <c:strRef>
              <c:f>{"Dec.18","Jan.19","Feb.19","Mar.19","Apr.19","May.19","Jun.19","Jul.19","Aug.19","Sep.19","Oct.19","Nov.19","Dec.19","Jan.20","Feb.20","Mar.20","Apr.20","May.20","Jun.20","Jul.20","Aug.20","Sep.20","Oct.20","Nov.20","Dec.20","Jan.21","Feb.21","Mar.21","Apr.21","May.21","Jun.21","Jul.21","Aug.21","Sep.21","Oct.21","Nov.21","Dec.21","Jan.22"}</c:f>
              <c:strCache>
                <c:ptCount val="38"/>
                <c:pt idx="0">
                  <c:v>Dec.18</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Jan.20</c:v>
                </c:pt>
                <c:pt idx="14">
                  <c:v>Feb.20</c:v>
                </c:pt>
                <c:pt idx="15">
                  <c:v>Mar.20</c:v>
                </c:pt>
                <c:pt idx="16">
                  <c:v>Apr.20</c:v>
                </c:pt>
                <c:pt idx="17">
                  <c:v>May.20</c:v>
                </c:pt>
                <c:pt idx="18">
                  <c:v>Jun.20</c:v>
                </c:pt>
                <c:pt idx="19">
                  <c:v>Jul.20</c:v>
                </c:pt>
                <c:pt idx="20">
                  <c:v>Aug.20</c:v>
                </c:pt>
                <c:pt idx="21">
                  <c:v>Sep.20</c:v>
                </c:pt>
                <c:pt idx="22">
                  <c:v>Oct.20</c:v>
                </c:pt>
                <c:pt idx="23">
                  <c:v>Nov.20</c:v>
                </c:pt>
                <c:pt idx="24">
                  <c:v>Dec.20</c:v>
                </c:pt>
                <c:pt idx="25">
                  <c:v>Jan.21</c:v>
                </c:pt>
                <c:pt idx="26">
                  <c:v>Feb.21</c:v>
                </c:pt>
                <c:pt idx="27">
                  <c:v>Mar.21</c:v>
                </c:pt>
                <c:pt idx="28">
                  <c:v>Apr.21</c:v>
                </c:pt>
                <c:pt idx="29">
                  <c:v>May.21</c:v>
                </c:pt>
                <c:pt idx="30">
                  <c:v>Jun.21</c:v>
                </c:pt>
                <c:pt idx="31">
                  <c:v>Jul.21</c:v>
                </c:pt>
                <c:pt idx="32">
                  <c:v>Aug.21</c:v>
                </c:pt>
                <c:pt idx="33">
                  <c:v>Sep.21</c:v>
                </c:pt>
                <c:pt idx="34">
                  <c:v>Oct.21</c:v>
                </c:pt>
                <c:pt idx="35">
                  <c:v>Nov.21</c:v>
                </c:pt>
                <c:pt idx="36">
                  <c:v>Dec.21</c:v>
                </c:pt>
                <c:pt idx="37">
                  <c:v>Jan.22</c:v>
                </c:pt>
              </c:strCache>
            </c:strRef>
          </c:cat>
          <c:val>
            <c:numRef>
              <c:f>{0,0,0,0,0,0,0,0,0,0,0,0,0,0,0,1,1,0,0,0,0,0,0,0,0,0,0,0,0,0,0,0,0,0,0,0,0,0}</c:f>
              <c:numCache>
                <c:formatCode>General</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ser>
        <c:dLbls>
          <c:showLegendKey val="0"/>
          <c:showVal val="0"/>
          <c:showCatName val="0"/>
          <c:showSerName val="0"/>
          <c:showPercent val="0"/>
          <c:showBubbleSize val="0"/>
        </c:dLbls>
        <c:gapWidth val="0"/>
        <c:axId val="825586576"/>
        <c:axId val="825586968"/>
      </c:barChart>
      <c:lineChart>
        <c:grouping val="standard"/>
        <c:varyColors val="0"/>
        <c:ser>
          <c:idx val="0"/>
          <c:order val="0"/>
          <c:tx>
            <c:strRef>
              <c:f>#REF!</c:f>
              <c:strCache>
                <c:ptCount val="1"/>
                <c:pt idx="0">
                  <c:v>#REF!</c:v>
                </c:pt>
              </c:strCache>
            </c:strRef>
          </c:tx>
          <c:spPr>
            <a:ln w="12700" cap="rnd" cmpd="sng" algn="ctr">
              <a:solidFill>
                <a:srgbClr val="00AB4E"/>
              </a:solidFill>
              <a:prstDash val="solid"/>
              <a:round/>
            </a:ln>
          </c:spPr>
          <c:marker>
            <c:symbol val="circle"/>
            <c:size val="4"/>
            <c:spPr>
              <a:solidFill>
                <a:srgbClr val="00AB4E"/>
              </a:solidFill>
              <a:ln w="9525" cap="flat" cmpd="sng" algn="ctr">
                <a:solidFill>
                  <a:srgbClr val="00AB4E"/>
                </a:solidFill>
                <a:prstDash val="solid"/>
                <a:round/>
              </a:ln>
            </c:spPr>
          </c:marker>
          <c:dLbls>
            <c:delete val="1"/>
          </c:dLbls>
          <c:cat>
            <c:strRef>
              <c:f>{"Dec.18","Jan.19","Feb.19","Mar.19","Apr.19","May.19","Jun.19","Jul.19","Aug.19","Sep.19","Oct.19","Nov.19","Dec.19","Jan.20","Feb.20","Mar.20","Apr.20","May.20","Jun.20","Jul.20","Aug.20","Sep.20","Oct.20","Nov.20","Dec.20","Jan.21","Feb.21","Mar.21","Apr.21","May.21","Jun.21","Jul.21","Aug.21","Sep.21","Oct.21","Nov.21","Dec.21","Jan.22"}</c:f>
              <c:strCache>
                <c:ptCount val="38"/>
                <c:pt idx="0">
                  <c:v>Dec.18</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Jan.20</c:v>
                </c:pt>
                <c:pt idx="14">
                  <c:v>Feb.20</c:v>
                </c:pt>
                <c:pt idx="15">
                  <c:v>Mar.20</c:v>
                </c:pt>
                <c:pt idx="16">
                  <c:v>Apr.20</c:v>
                </c:pt>
                <c:pt idx="17">
                  <c:v>May.20</c:v>
                </c:pt>
                <c:pt idx="18">
                  <c:v>Jun.20</c:v>
                </c:pt>
                <c:pt idx="19">
                  <c:v>Jul.20</c:v>
                </c:pt>
                <c:pt idx="20">
                  <c:v>Aug.20</c:v>
                </c:pt>
                <c:pt idx="21">
                  <c:v>Sep.20</c:v>
                </c:pt>
                <c:pt idx="22">
                  <c:v>Oct.20</c:v>
                </c:pt>
                <c:pt idx="23">
                  <c:v>Nov.20</c:v>
                </c:pt>
                <c:pt idx="24">
                  <c:v>Dec.20</c:v>
                </c:pt>
                <c:pt idx="25">
                  <c:v>Jan.21</c:v>
                </c:pt>
                <c:pt idx="26">
                  <c:v>Feb.21</c:v>
                </c:pt>
                <c:pt idx="27">
                  <c:v>Mar.21</c:v>
                </c:pt>
                <c:pt idx="28">
                  <c:v>Apr.21</c:v>
                </c:pt>
                <c:pt idx="29">
                  <c:v>May.21</c:v>
                </c:pt>
                <c:pt idx="30">
                  <c:v>Jun.21</c:v>
                </c:pt>
                <c:pt idx="31">
                  <c:v>Jul.21</c:v>
                </c:pt>
                <c:pt idx="32">
                  <c:v>Aug.21</c:v>
                </c:pt>
                <c:pt idx="33">
                  <c:v>Sep.21</c:v>
                </c:pt>
                <c:pt idx="34">
                  <c:v>Oct.21</c:v>
                </c:pt>
                <c:pt idx="35">
                  <c:v>Nov.21</c:v>
                </c:pt>
                <c:pt idx="36">
                  <c:v>Dec.21</c:v>
                </c:pt>
                <c:pt idx="37">
                  <c:v>Jan.22</c:v>
                </c:pt>
              </c:strCache>
            </c:strRef>
          </c:cat>
          <c:val>
            <c:numRef>
              <c:f>{18748.0760681622,18846.478526132,18821.4360915307,18831.8172406347,18910.8286674691,18961.229868821,19075.5961902803,19092.3554694165,19109.7219224326,19135.9829077749,19164.6081314482,19219.9027704506,19222.5646894593,19221.9802589608,19353.7099069445,18280.5325039892,16443.9313101659,17185.1923023603,18148.0405506812,18334.3489144456,18575.9115402367,18775.4047865754,18932.6110118373,18708.9640173747,18665.1723369198,19111.8551129351,18801.815906484,19257.151144908,19346.4758914371,19355.7456173585,19406.4611696833,19339.199786919,19524.3242111161,19576.5970171759,19887.3110396217,19778.1489488674,19785.7317789297,19784.287469627}</c:f>
              <c:numCache>
                <c:formatCode>General</c:formatCode>
                <c:ptCount val="38"/>
                <c:pt idx="0">
                  <c:v>18748.0760681622</c:v>
                </c:pt>
                <c:pt idx="1">
                  <c:v>18846.478526132</c:v>
                </c:pt>
                <c:pt idx="2">
                  <c:v>18821.4360915307</c:v>
                </c:pt>
                <c:pt idx="3">
                  <c:v>18831.8172406347</c:v>
                </c:pt>
                <c:pt idx="4">
                  <c:v>18910.8286674691</c:v>
                </c:pt>
                <c:pt idx="5">
                  <c:v>18961.229868821</c:v>
                </c:pt>
                <c:pt idx="6">
                  <c:v>19075.5961902803</c:v>
                </c:pt>
                <c:pt idx="7">
                  <c:v>19092.3554694165</c:v>
                </c:pt>
                <c:pt idx="8">
                  <c:v>19109.7219224326</c:v>
                </c:pt>
                <c:pt idx="9">
                  <c:v>19135.9829077749</c:v>
                </c:pt>
                <c:pt idx="10">
                  <c:v>19164.6081314482</c:v>
                </c:pt>
                <c:pt idx="11">
                  <c:v>19219.9027704506</c:v>
                </c:pt>
                <c:pt idx="12">
                  <c:v>19222.5646894593</c:v>
                </c:pt>
                <c:pt idx="13">
                  <c:v>19221.9802589608</c:v>
                </c:pt>
                <c:pt idx="14">
                  <c:v>19353.7099069445</c:v>
                </c:pt>
                <c:pt idx="15">
                  <c:v>18280.5325039892</c:v>
                </c:pt>
                <c:pt idx="16">
                  <c:v>16443.9313101659</c:v>
                </c:pt>
                <c:pt idx="17">
                  <c:v>17185.1923023603</c:v>
                </c:pt>
                <c:pt idx="18">
                  <c:v>18148.0405506812</c:v>
                </c:pt>
                <c:pt idx="19">
                  <c:v>18334.3489144456</c:v>
                </c:pt>
                <c:pt idx="20">
                  <c:v>18575.9115402367</c:v>
                </c:pt>
                <c:pt idx="21">
                  <c:v>18775.4047865754</c:v>
                </c:pt>
                <c:pt idx="22">
                  <c:v>18932.6110118373</c:v>
                </c:pt>
                <c:pt idx="23">
                  <c:v>18708.9640173747</c:v>
                </c:pt>
                <c:pt idx="24">
                  <c:v>18665.1723369198</c:v>
                </c:pt>
                <c:pt idx="25">
                  <c:v>19111.8551129351</c:v>
                </c:pt>
                <c:pt idx="26">
                  <c:v>18801.815906484</c:v>
                </c:pt>
                <c:pt idx="27">
                  <c:v>19257.151144908</c:v>
                </c:pt>
                <c:pt idx="28">
                  <c:v>19346.4758914371</c:v>
                </c:pt>
                <c:pt idx="29">
                  <c:v>19355.7456173585</c:v>
                </c:pt>
                <c:pt idx="30">
                  <c:v>19406.4611696833</c:v>
                </c:pt>
                <c:pt idx="31">
                  <c:v>19339.199786919</c:v>
                </c:pt>
                <c:pt idx="32">
                  <c:v>19524.3242111161</c:v>
                </c:pt>
                <c:pt idx="33">
                  <c:v>19576.5970171759</c:v>
                </c:pt>
                <c:pt idx="34">
                  <c:v>19887.3110396217</c:v>
                </c:pt>
                <c:pt idx="35">
                  <c:v>19778.1489488674</c:v>
                </c:pt>
                <c:pt idx="36">
                  <c:v>19785.7317789297</c:v>
                </c:pt>
                <c:pt idx="37">
                  <c:v>19784.287469627</c:v>
                </c:pt>
              </c:numCache>
            </c:numRef>
          </c:val>
          <c:smooth val="0"/>
        </c:ser>
        <c:dLbls>
          <c:showLegendKey val="0"/>
          <c:showVal val="0"/>
          <c:showCatName val="0"/>
          <c:showSerName val="0"/>
          <c:showPercent val="0"/>
          <c:showBubbleSize val="0"/>
        </c:dLbls>
        <c:marker val="1"/>
        <c:smooth val="0"/>
        <c:axId val="825585792"/>
        <c:axId val="825586184"/>
      </c:lineChart>
      <c:catAx>
        <c:axId val="825585792"/>
        <c:scaling>
          <c:orientation val="minMax"/>
        </c:scaling>
        <c:delete val="0"/>
        <c:axPos val="b"/>
        <c:numFmt formatCode="General" sourceLinked="1"/>
        <c:majorTickMark val="out"/>
        <c:minorTickMark val="none"/>
        <c:tickLblPos val="nextTo"/>
        <c:spPr>
          <a:ln w="3175" cap="flat" cmpd="sng" algn="ctr">
            <a:solidFill>
              <a:srgbClr val="9DA5A7"/>
            </a:solidFill>
            <a:prstDash val="solid"/>
            <a:round/>
          </a:ln>
        </c:spPr>
        <c:txPr>
          <a:bodyPr rot="0" spcFirstLastPara="0" vertOverflow="ellipsis" vert="horz" wrap="square" anchor="ctr" anchorCtr="1"/>
          <a:lstStyle/>
          <a:p>
            <a:pPr>
              <a:defRPr lang="zh-CN" sz="800" b="0" i="0" u="none" strike="noStrike" kern="1200" baseline="0">
                <a:solidFill>
                  <a:srgbClr val="000000"/>
                </a:solidFill>
                <a:latin typeface="Arial" panose="020B0604020202020204"/>
                <a:ea typeface="Arial" panose="020B0604020202020204"/>
                <a:cs typeface="Arial" panose="020B0604020202020204"/>
              </a:defRPr>
            </a:pPr>
          </a:p>
        </c:txPr>
        <c:crossAx val="825586184"/>
        <c:crosses val="autoZero"/>
        <c:auto val="1"/>
        <c:lblAlgn val="ctr"/>
        <c:lblOffset val="100"/>
        <c:tickLblSkip val="6"/>
        <c:tickMarkSkip val="6"/>
        <c:noMultiLvlLbl val="0"/>
      </c:catAx>
      <c:valAx>
        <c:axId val="825586184"/>
        <c:scaling>
          <c:orientation val="minMax"/>
          <c:max val="20000"/>
          <c:min val="16000"/>
        </c:scaling>
        <c:delete val="0"/>
        <c:axPos val="l"/>
        <c:majorGridlines>
          <c:spPr>
            <a:ln w="3175" cap="flat" cmpd="sng" algn="ctr">
              <a:solidFill>
                <a:srgbClr val="D2D2CF"/>
              </a:solidFill>
              <a:prstDash val="solid"/>
              <a:round/>
            </a:ln>
          </c:spPr>
        </c:majorGridlines>
        <c:numFmt formatCode="#,##0" sourceLinked="0"/>
        <c:majorTickMark val="out"/>
        <c:minorTickMark val="none"/>
        <c:tickLblPos val="nextTo"/>
        <c:spPr>
          <a:ln w="3175" cap="flat" cmpd="sng" algn="ctr">
            <a:noFill/>
            <a:prstDash val="solid"/>
            <a:round/>
          </a:ln>
        </c:spPr>
        <c:txPr>
          <a:bodyPr rot="0" spcFirstLastPara="0" vertOverflow="ellipsis" vert="horz" wrap="square" anchor="ctr" anchorCtr="1"/>
          <a:lstStyle/>
          <a:p>
            <a:pPr>
              <a:defRPr lang="zh-CN" sz="800" b="0" i="0" u="none" strike="noStrike" kern="1200" baseline="0">
                <a:solidFill>
                  <a:srgbClr val="000000"/>
                </a:solidFill>
                <a:latin typeface="Arial" panose="020B0604020202020204"/>
                <a:ea typeface="Arial" panose="020B0604020202020204"/>
                <a:cs typeface="Arial" panose="020B0604020202020204"/>
              </a:defRPr>
            </a:pPr>
          </a:p>
        </c:txPr>
        <c:crossAx val="825585792"/>
        <c:crosses val="autoZero"/>
        <c:crossBetween val="midCat"/>
        <c:majorUnit val="800"/>
      </c:valAx>
      <c:catAx>
        <c:axId val="825586576"/>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550" b="0" i="0" u="none" strike="noStrike" kern="1200" baseline="0">
                <a:solidFill>
                  <a:srgbClr val="000000"/>
                </a:solidFill>
                <a:latin typeface="Arial" panose="020B0604020202020204"/>
                <a:ea typeface="Arial" panose="020B0604020202020204"/>
                <a:cs typeface="Arial" panose="020B0604020202020204"/>
              </a:defRPr>
            </a:pPr>
          </a:p>
        </c:txPr>
        <c:crossAx val="825586968"/>
        <c:crosses val="autoZero"/>
        <c:auto val="1"/>
        <c:lblAlgn val="ctr"/>
        <c:lblOffset val="100"/>
        <c:noMultiLvlLbl val="0"/>
      </c:catAx>
      <c:valAx>
        <c:axId val="825586968"/>
        <c:scaling>
          <c:orientation val="minMax"/>
          <c:max val="1"/>
          <c:min val="0"/>
        </c:scaling>
        <c:delete val="0"/>
        <c:axPos val="r"/>
        <c:numFmt formatCode="0" sourceLinked="1"/>
        <c:majorTickMark val="none"/>
        <c:minorTickMark val="none"/>
        <c:tickLblPos val="none"/>
        <c:spPr>
          <a:ln w="3175" cap="flat" cmpd="sng" algn="ctr">
            <a:noFill/>
            <a:prstDash val="solid"/>
            <a:round/>
          </a:ln>
        </c:spPr>
        <c:txPr>
          <a:bodyPr rot="-60000000" spcFirstLastPara="0" vertOverflow="ellipsis" vert="horz" wrap="square" anchor="ctr" anchorCtr="1"/>
          <a:lstStyle/>
          <a:p>
            <a:pPr>
              <a:defRPr lang="zh-CN" sz="800" b="0" i="0" u="none" strike="noStrike" kern="1200" baseline="0">
                <a:solidFill>
                  <a:srgbClr val="000000"/>
                </a:solidFill>
                <a:latin typeface="Arial" panose="020B0604020202020204"/>
                <a:ea typeface="Arial" panose="020B0604020202020204"/>
                <a:cs typeface="Arial" panose="020B0604020202020204"/>
              </a:defRPr>
            </a:pPr>
          </a:p>
        </c:txPr>
        <c:crossAx val="825586576"/>
        <c:crosses val="max"/>
        <c:crossBetween val="midCat"/>
      </c:valAx>
      <c:spPr>
        <a:noFill/>
        <a:ln w="25400">
          <a:noFill/>
        </a:ln>
      </c:spPr>
    </c:plotArea>
    <c:plotVisOnly val="1"/>
    <c:dispBlanksAs val="gap"/>
    <c:showDLblsOverMax val="0"/>
    <c:extLst>
      <c:ext uri="{0b15fc19-7d7d-44ad-8c2d-2c3a37ce22c3}">
        <chartProps xmlns="https://web.wps.cn/et/2018/main" chartId="{29f0def6-252f-4c13-b087-057deeedaeba}"/>
      </c:ext>
    </c:extLst>
  </c:chart>
  <c:spPr>
    <a:solidFill>
      <a:srgbClr val="FFFFFF"/>
    </a:solidFill>
    <a:ln w="6350" cap="flat" cmpd="sng" algn="ctr">
      <a:solidFill>
        <a:srgbClr val="7F8080"/>
      </a:solidFill>
      <a:prstDash val="solid"/>
      <a:round/>
    </a:ln>
  </c:spPr>
  <c:txPr>
    <a:bodyPr/>
    <a:lstStyle/>
    <a:p>
      <a:pPr>
        <a:defRPr lang="zh-CN" sz="55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409053567439"/>
          <c:y val="0.159285921762272"/>
          <c:w val="0.813143105432286"/>
          <c:h val="0.550192728899914"/>
        </c:manualLayout>
      </c:layout>
      <c:lineChart>
        <c:grouping val="standard"/>
        <c:varyColors val="0"/>
        <c:ser>
          <c:idx val="0"/>
          <c:order val="0"/>
          <c:tx>
            <c:strRef>
              <c:f>#REF!</c:f>
              <c:strCache>
                <c:ptCount val="1"/>
                <c:pt idx="0">
                  <c:v>#REF!</c:v>
                </c:pt>
              </c:strCache>
            </c:strRef>
          </c:tx>
          <c:spPr>
            <a:ln w="12700" cap="rnd" cmpd="sng" algn="ctr">
              <a:solidFill>
                <a:srgbClr val="006D89"/>
              </a:solidFill>
              <a:prstDash val="solid"/>
              <a:round/>
            </a:ln>
          </c:spPr>
          <c:marker>
            <c:symbol val="circle"/>
            <c:size val="4"/>
            <c:spPr>
              <a:solidFill>
                <a:srgbClr val="006D89"/>
              </a:solidFill>
              <a:ln w="9525" cap="flat" cmpd="sng" algn="ctr">
                <a:solidFill>
                  <a:srgbClr val="006D89"/>
                </a:solidFill>
                <a:prstDash val="solid"/>
                <a:round/>
              </a:ln>
            </c:spPr>
          </c:marker>
          <c:dLbls>
            <c:delete val="1"/>
          </c:dLbls>
          <c:cat>
            <c:numRef>
              <c:f>{44713,44743,44774,44805,44835,44866,44896,44927,44958,44986,45017,45047,45078,45108,45139,45170,45200,45231,45261,45292,45323,45352,45383,45413,45444,45474,45505,45536,45566,45597,45627,45658,45689,45717,45748,45778,45809,45839}</c:f>
              <c:numCache>
                <c:formatCode>General</c:formatCode>
                <c:ptCount val="38"/>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pt idx="12">
                  <c:v>45078</c:v>
                </c:pt>
                <c:pt idx="13">
                  <c:v>45108</c:v>
                </c:pt>
                <c:pt idx="14">
                  <c:v>45139</c:v>
                </c:pt>
                <c:pt idx="15">
                  <c:v>45170</c:v>
                </c:pt>
                <c:pt idx="16">
                  <c:v>45200</c:v>
                </c:pt>
                <c:pt idx="17">
                  <c:v>45231</c:v>
                </c:pt>
                <c:pt idx="18">
                  <c:v>45261</c:v>
                </c:pt>
                <c:pt idx="19">
                  <c:v>45292</c:v>
                </c:pt>
                <c:pt idx="20">
                  <c:v>45323</c:v>
                </c:pt>
                <c:pt idx="21">
                  <c:v>45352</c:v>
                </c:pt>
                <c:pt idx="22">
                  <c:v>45383</c:v>
                </c:pt>
                <c:pt idx="23">
                  <c:v>45413</c:v>
                </c:pt>
                <c:pt idx="24">
                  <c:v>45444</c:v>
                </c:pt>
                <c:pt idx="25">
                  <c:v>45474</c:v>
                </c:pt>
                <c:pt idx="26">
                  <c:v>45505</c:v>
                </c:pt>
                <c:pt idx="27">
                  <c:v>45536</c:v>
                </c:pt>
                <c:pt idx="28">
                  <c:v>45566</c:v>
                </c:pt>
                <c:pt idx="29">
                  <c:v>45597</c:v>
                </c:pt>
                <c:pt idx="30">
                  <c:v>45627</c:v>
                </c:pt>
                <c:pt idx="31">
                  <c:v>45658</c:v>
                </c:pt>
                <c:pt idx="32">
                  <c:v>45689</c:v>
                </c:pt>
                <c:pt idx="33">
                  <c:v>45717</c:v>
                </c:pt>
                <c:pt idx="34">
                  <c:v>45748</c:v>
                </c:pt>
                <c:pt idx="35">
                  <c:v>45778</c:v>
                </c:pt>
                <c:pt idx="36">
                  <c:v>45809</c:v>
                </c:pt>
                <c:pt idx="37">
                  <c:v>45839</c:v>
                </c:pt>
              </c:numCache>
            </c:numRef>
          </c:cat>
          <c:val>
            <c:numRef>
              <c:f>{21859.714506231,21941.9432205834,22156.9126905544,22105.7930888532,22227.4256289546,22253.6285396489,22271.5341345827,22409.3076898284,22340.9792550116,22464.0297875839,22474.3511625528,22573.952969301,22573.9704747158,22684.5033694648,22804.6155636969,22857.7040113524,22792.9444015709,22918.0757584281,23174.7351531469,22931.8857205268,23116.8505575168,23116.0287646114,23172.5729785933,23257.5030553569,23245.7697041566,23393.8388354318,23405.4273506739,23405.8791993863,23517.0680398487,23591.3198632514,23523.0806281179,23522.9959788018,23490.2869977898,23529.212364929,23715.3092275933,23601.1242514312,23806.6935357957,23854.5316404293}</c:f>
              <c:numCache>
                <c:formatCode>General</c:formatCode>
                <c:ptCount val="38"/>
                <c:pt idx="0">
                  <c:v>21859.714506231</c:v>
                </c:pt>
                <c:pt idx="1">
                  <c:v>21941.9432205834</c:v>
                </c:pt>
                <c:pt idx="2">
                  <c:v>22156.9126905544</c:v>
                </c:pt>
                <c:pt idx="3">
                  <c:v>22105.7930888532</c:v>
                </c:pt>
                <c:pt idx="4">
                  <c:v>22227.4256289546</c:v>
                </c:pt>
                <c:pt idx="5">
                  <c:v>22253.6285396489</c:v>
                </c:pt>
                <c:pt idx="6">
                  <c:v>22271.5341345827</c:v>
                </c:pt>
                <c:pt idx="7">
                  <c:v>22409.3076898284</c:v>
                </c:pt>
                <c:pt idx="8">
                  <c:v>22340.9792550116</c:v>
                </c:pt>
                <c:pt idx="9">
                  <c:v>22464.0297875839</c:v>
                </c:pt>
                <c:pt idx="10">
                  <c:v>22474.3511625528</c:v>
                </c:pt>
                <c:pt idx="11">
                  <c:v>22573.952969301</c:v>
                </c:pt>
                <c:pt idx="12">
                  <c:v>22573.9704747158</c:v>
                </c:pt>
                <c:pt idx="13">
                  <c:v>22684.5033694648</c:v>
                </c:pt>
                <c:pt idx="14">
                  <c:v>22804.6155636969</c:v>
                </c:pt>
                <c:pt idx="15">
                  <c:v>22857.7040113524</c:v>
                </c:pt>
                <c:pt idx="16">
                  <c:v>22792.9444015709</c:v>
                </c:pt>
                <c:pt idx="17">
                  <c:v>22918.0757584281</c:v>
                </c:pt>
                <c:pt idx="18">
                  <c:v>23174.7351531469</c:v>
                </c:pt>
                <c:pt idx="19">
                  <c:v>22931.8857205268</c:v>
                </c:pt>
                <c:pt idx="20">
                  <c:v>23116.8505575168</c:v>
                </c:pt>
                <c:pt idx="21">
                  <c:v>23116.0287646114</c:v>
                </c:pt>
                <c:pt idx="22">
                  <c:v>23172.5729785933</c:v>
                </c:pt>
                <c:pt idx="23">
                  <c:v>23257.5030553569</c:v>
                </c:pt>
                <c:pt idx="24">
                  <c:v>23245.7697041566</c:v>
                </c:pt>
                <c:pt idx="25">
                  <c:v>23393.8388354318</c:v>
                </c:pt>
                <c:pt idx="26">
                  <c:v>23405.4273506739</c:v>
                </c:pt>
                <c:pt idx="27">
                  <c:v>23405.8791993863</c:v>
                </c:pt>
                <c:pt idx="28">
                  <c:v>23517.0680398487</c:v>
                </c:pt>
                <c:pt idx="29">
                  <c:v>23591.3198632514</c:v>
                </c:pt>
                <c:pt idx="30">
                  <c:v>23523.0806281179</c:v>
                </c:pt>
                <c:pt idx="31">
                  <c:v>23522.9959788018</c:v>
                </c:pt>
                <c:pt idx="32">
                  <c:v>23490.2869977898</c:v>
                </c:pt>
                <c:pt idx="33">
                  <c:v>23529.212364929</c:v>
                </c:pt>
                <c:pt idx="34">
                  <c:v>23715.3092275933</c:v>
                </c:pt>
                <c:pt idx="35">
                  <c:v>23601.1242514312</c:v>
                </c:pt>
                <c:pt idx="36">
                  <c:v>23806.6935357957</c:v>
                </c:pt>
                <c:pt idx="37">
                  <c:v>23854.5316404293</c:v>
                </c:pt>
              </c:numCache>
            </c:numRef>
          </c:val>
          <c:smooth val="0"/>
        </c:ser>
        <c:dLbls>
          <c:showLegendKey val="0"/>
          <c:showVal val="0"/>
          <c:showCatName val="0"/>
          <c:showSerName val="0"/>
          <c:showPercent val="0"/>
          <c:showBubbleSize val="0"/>
        </c:dLbls>
        <c:marker val="1"/>
        <c:smooth val="0"/>
        <c:axId val="825585792"/>
        <c:axId val="825586184"/>
      </c:lineChart>
      <c:catAx>
        <c:axId val="825585792"/>
        <c:scaling>
          <c:orientation val="minMax"/>
        </c:scaling>
        <c:delete val="0"/>
        <c:axPos val="b"/>
        <c:numFmt formatCode="mm/yy" sourceLinked="0"/>
        <c:majorTickMark val="none"/>
        <c:minorTickMark val="none"/>
        <c:tickLblPos val="nextTo"/>
        <c:spPr>
          <a:ln w="3175" cap="flat" cmpd="sng" algn="ctr">
            <a:solidFill>
              <a:srgbClr val="A6A6A6"/>
            </a:solidFill>
            <a:prstDash val="solid"/>
            <a:round/>
          </a:ln>
        </c:spPr>
        <c:txPr>
          <a:bodyPr rot="0" spcFirstLastPara="0" vertOverflow="ellipsis" vert="horz" wrap="square" anchor="ctr" anchorCtr="1"/>
          <a:lstStyle/>
          <a:p>
            <a:pPr>
              <a:defRPr lang="zh-CN" sz="800" b="0" i="0" u="none" strike="noStrike" kern="1200" baseline="0">
                <a:solidFill>
                  <a:srgbClr val="010000"/>
                </a:solidFill>
                <a:latin typeface="Arial" panose="020B0604020202020204"/>
                <a:ea typeface="Arial" panose="020B0604020202020204"/>
                <a:cs typeface="Arial" panose="020B0604020202020204"/>
              </a:defRPr>
            </a:pPr>
          </a:p>
        </c:txPr>
        <c:crossAx val="825586184"/>
        <c:crosses val="autoZero"/>
        <c:auto val="1"/>
        <c:lblAlgn val="ctr"/>
        <c:lblOffset val="100"/>
        <c:tickLblSkip val="6"/>
        <c:tickMarkSkip val="6"/>
        <c:noMultiLvlLbl val="0"/>
      </c:catAx>
      <c:valAx>
        <c:axId val="825586184"/>
        <c:scaling>
          <c:orientation val="minMax"/>
          <c:max val="24000"/>
          <c:min val="21000"/>
        </c:scaling>
        <c:delete val="0"/>
        <c:axPos val="l"/>
        <c:numFmt formatCode="#,##0" sourceLinked="0"/>
        <c:majorTickMark val="none"/>
        <c:minorTickMark val="none"/>
        <c:tickLblPos val="nextTo"/>
        <c:spPr>
          <a:ln w="3175" cap="flat" cmpd="sng" algn="ctr">
            <a:solidFill>
              <a:srgbClr val="A6A6A6"/>
            </a:solidFill>
            <a:prstDash val="solid"/>
            <a:round/>
          </a:ln>
        </c:spPr>
        <c:txPr>
          <a:bodyPr rot="0" spcFirstLastPara="0" vertOverflow="ellipsis" vert="horz" wrap="square" anchor="ctr" anchorCtr="1"/>
          <a:lstStyle/>
          <a:p>
            <a:pPr>
              <a:defRPr lang="zh-CN" sz="800" b="0" i="0" u="none" strike="noStrike" kern="1200" baseline="0">
                <a:solidFill>
                  <a:srgbClr val="010000"/>
                </a:solidFill>
                <a:latin typeface="Arial" panose="020B0604020202020204"/>
                <a:ea typeface="Arial" panose="020B0604020202020204"/>
                <a:cs typeface="Arial" panose="020B0604020202020204"/>
              </a:defRPr>
            </a:pPr>
          </a:p>
        </c:txPr>
        <c:crossAx val="825585792"/>
        <c:crosses val="autoZero"/>
        <c:crossBetween val="midCat"/>
        <c:majorUnit val="1000"/>
      </c:valAx>
      <c:spPr>
        <a:noFill/>
        <a:ln w="25400">
          <a:noFill/>
        </a:ln>
      </c:spPr>
    </c:plotArea>
    <c:plotVisOnly val="1"/>
    <c:dispBlanksAs val="gap"/>
    <c:showDLblsOverMax val="0"/>
    <c:extLst>
      <c:ext uri="{0b15fc19-7d7d-44ad-8c2d-2c3a37ce22c3}">
        <chartProps xmlns="https://web.wps.cn/et/2018/main" chartId="{440278d9-3269-4642-ac31-b7796dbe56ab}"/>
      </c:ext>
    </c:extLst>
  </c:chart>
  <c:spPr>
    <a:solidFill>
      <a:srgbClr val="FFFFFF"/>
    </a:solidFill>
    <a:ln w="6350" cap="flat" cmpd="sng" algn="ctr">
      <a:noFill/>
      <a:prstDash val="solid"/>
      <a:round/>
    </a:ln>
    <a:effectLst/>
  </c:spPr>
  <c:txPr>
    <a:bodyPr/>
    <a:lstStyle/>
    <a:p>
      <a:pPr>
        <a:defRPr lang="zh-CN" sz="55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0.133850801705594"/>
          <c:w val="1"/>
          <c:h val="0.857524791222392"/>
        </c:manualLayout>
      </c:layout>
      <c:lineChart>
        <c:grouping val="standard"/>
        <c:varyColors val="0"/>
        <c:ser>
          <c:idx val="1"/>
          <c:order val="0"/>
          <c:tx>
            <c:strRef>
              <c:f>"zeros"</c:f>
              <c:strCache>
                <c:ptCount val="1"/>
                <c:pt idx="0">
                  <c:v>zeros</c:v>
                </c:pt>
              </c:strCache>
            </c:strRef>
          </c:tx>
          <c:spPr>
            <a:ln w="6350" cap="rnd" cmpd="sng" algn="ctr">
              <a:solidFill>
                <a:srgbClr val="A6A6A6"/>
              </a:solidFill>
              <a:prstDash val="solid"/>
              <a:round/>
            </a:ln>
          </c:spPr>
          <c:marker>
            <c:symbol val="none"/>
          </c:marker>
          <c:dLbls>
            <c:delete val="1"/>
          </c:dLbls>
          <c:cat>
            <c:numRef>
              <c:f>{45658,45689,45717,45748,45778,45809,45839}</c:f>
              <c:numCache>
                <c:formatCode>General</c:formatCode>
                <c:ptCount val="7"/>
                <c:pt idx="0">
                  <c:v>45658</c:v>
                </c:pt>
                <c:pt idx="1">
                  <c:v>45689</c:v>
                </c:pt>
                <c:pt idx="2">
                  <c:v>45717</c:v>
                </c:pt>
                <c:pt idx="3">
                  <c:v>45748</c:v>
                </c:pt>
                <c:pt idx="4">
                  <c:v>45778</c:v>
                </c:pt>
                <c:pt idx="5">
                  <c:v>45809</c:v>
                </c:pt>
                <c:pt idx="6">
                  <c:v>45839</c:v>
                </c:pt>
              </c:numCache>
            </c:numRef>
          </c:cat>
          <c:val>
            <c:numRef>
              <c:f>{0,0,0,0,0,0,0}</c:f>
              <c:numCache>
                <c:formatCode>General</c:formatCode>
                <c:ptCount val="7"/>
                <c:pt idx="0">
                  <c:v>0</c:v>
                </c:pt>
                <c:pt idx="1">
                  <c:v>0</c:v>
                </c:pt>
                <c:pt idx="2">
                  <c:v>0</c:v>
                </c:pt>
                <c:pt idx="3">
                  <c:v>0</c:v>
                </c:pt>
                <c:pt idx="4">
                  <c:v>0</c:v>
                </c:pt>
                <c:pt idx="5">
                  <c:v>0</c:v>
                </c:pt>
                <c:pt idx="6">
                  <c:v>0</c:v>
                </c:pt>
              </c:numCache>
            </c:numRef>
          </c:val>
          <c:smooth val="0"/>
        </c:ser>
        <c:ser>
          <c:idx val="0"/>
          <c:order val="1"/>
          <c:tx>
            <c:strRef>
              <c:f>"Domestic Demand"</c:f>
              <c:strCache>
                <c:ptCount val="1"/>
                <c:pt idx="0">
                  <c:v>Domestic Demand</c:v>
                </c:pt>
              </c:strCache>
            </c:strRef>
          </c:tx>
          <c:spPr>
            <a:ln w="15875" cap="rnd" cmpd="sng" algn="ctr">
              <a:solidFill>
                <a:srgbClr val="DC7900"/>
              </a:solidFill>
              <a:prstDash val="solid"/>
              <a:round/>
            </a:ln>
          </c:spPr>
          <c:marker>
            <c:symbol val="circle"/>
            <c:size val="5"/>
            <c:spPr>
              <a:solidFill>
                <a:srgbClr val="DC7900"/>
              </a:solidFill>
              <a:ln w="9525" cap="flat" cmpd="sng" algn="ctr">
                <a:solidFill>
                  <a:srgbClr val="DC7900"/>
                </a:solidFill>
                <a:prstDash val="solid"/>
                <a:round/>
              </a:ln>
            </c:spPr>
          </c:marker>
          <c:dLbls>
            <c:delete val="1"/>
          </c:dLbls>
          <c:cat>
            <c:numRef>
              <c:f>{45658,45689,45717,45748,45778,45809,45839}</c:f>
              <c:numCache>
                <c:formatCode>General</c:formatCode>
                <c:ptCount val="7"/>
                <c:pt idx="0">
                  <c:v>45658</c:v>
                </c:pt>
                <c:pt idx="1">
                  <c:v>45689</c:v>
                </c:pt>
                <c:pt idx="2">
                  <c:v>45717</c:v>
                </c:pt>
                <c:pt idx="3">
                  <c:v>45748</c:v>
                </c:pt>
                <c:pt idx="4">
                  <c:v>45778</c:v>
                </c:pt>
                <c:pt idx="5">
                  <c:v>45809</c:v>
                </c:pt>
                <c:pt idx="6">
                  <c:v>45839</c:v>
                </c:pt>
              </c:numCache>
            </c:numRef>
          </c:cat>
          <c:val>
            <c:numRef>
              <c:f>{-3.87234451675833,-0.777376781656726,8.96219814359556,1.60090908855345,-2.24660846131563,1.88705444896681,5.49773313016874}</c:f>
              <c:numCache>
                <c:formatCode>General</c:formatCode>
                <c:ptCount val="7"/>
                <c:pt idx="0">
                  <c:v>-3.87234451675833</c:v>
                </c:pt>
                <c:pt idx="1">
                  <c:v>-0.777376781656726</c:v>
                </c:pt>
                <c:pt idx="2">
                  <c:v>8.96219814359556</c:v>
                </c:pt>
                <c:pt idx="3">
                  <c:v>1.60090908855345</c:v>
                </c:pt>
                <c:pt idx="4">
                  <c:v>-2.24660846131563</c:v>
                </c:pt>
                <c:pt idx="5">
                  <c:v>1.88705444896681</c:v>
                </c:pt>
                <c:pt idx="6">
                  <c:v>5.49773313016874</c:v>
                </c:pt>
              </c:numCache>
            </c:numRef>
          </c:val>
          <c:smooth val="0"/>
        </c:ser>
        <c:dLbls>
          <c:showLegendKey val="0"/>
          <c:showVal val="0"/>
          <c:showCatName val="0"/>
          <c:showSerName val="0"/>
          <c:showPercent val="0"/>
          <c:showBubbleSize val="0"/>
        </c:dLbls>
        <c:marker val="1"/>
        <c:smooth val="0"/>
        <c:axId val="825589712"/>
        <c:axId val="825590104"/>
      </c:lineChart>
      <c:catAx>
        <c:axId val="825589712"/>
        <c:scaling>
          <c:orientation val="minMax"/>
        </c:scaling>
        <c:delete val="0"/>
        <c:axPos val="b"/>
        <c:numFmt formatCode="mm/yy" sourceLinked="0"/>
        <c:majorTickMark val="none"/>
        <c:minorTickMark val="none"/>
        <c:tickLblPos val="low"/>
        <c:spPr>
          <a:ln w="3175" cap="flat" cmpd="sng" algn="ctr">
            <a:solidFill>
              <a:srgbClr val="A6A6A6"/>
            </a:solidFill>
            <a:prstDash val="solid"/>
            <a:round/>
          </a:ln>
        </c:spPr>
        <c:txPr>
          <a:bodyPr rot="0" spcFirstLastPara="0" vertOverflow="ellipsis" vert="horz" wrap="square" anchor="ctr" anchorCtr="1"/>
          <a:lstStyle/>
          <a:p>
            <a:pPr>
              <a:defRPr lang="zh-CN" sz="700" b="0" i="0" u="none" strike="noStrike" kern="1200" baseline="0">
                <a:solidFill>
                  <a:srgbClr val="010000"/>
                </a:solidFill>
                <a:latin typeface="Arial" panose="020B0604020202020204"/>
                <a:ea typeface="Arial" panose="020B0604020202020204"/>
                <a:cs typeface="Arial" panose="020B0604020202020204"/>
              </a:defRPr>
            </a:pPr>
          </a:p>
        </c:txPr>
        <c:crossAx val="825590104"/>
        <c:crossesAt val="-100"/>
        <c:auto val="1"/>
        <c:lblAlgn val="ctr"/>
        <c:lblOffset val="100"/>
        <c:tickLblSkip val="1"/>
        <c:noMultiLvlLbl val="0"/>
      </c:catAx>
      <c:valAx>
        <c:axId val="825590104"/>
        <c:scaling>
          <c:orientation val="minMax"/>
        </c:scaling>
        <c:delete val="0"/>
        <c:axPos val="l"/>
        <c:numFmt formatCode="0" sourceLinked="0"/>
        <c:majorTickMark val="none"/>
        <c:minorTickMark val="none"/>
        <c:tickLblPos val="nextTo"/>
        <c:spPr>
          <a:ln w="3175" cap="flat" cmpd="sng" algn="ctr">
            <a:solidFill>
              <a:srgbClr val="A6A6A6"/>
            </a:solidFill>
            <a:prstDash val="solid"/>
            <a:round/>
          </a:ln>
        </c:spPr>
        <c:txPr>
          <a:bodyPr rot="0" spcFirstLastPara="0" vertOverflow="ellipsis" vert="horz" wrap="square" anchor="ctr" anchorCtr="1"/>
          <a:lstStyle/>
          <a:p>
            <a:pPr>
              <a:defRPr lang="zh-CN" sz="700" b="0" i="0" u="none" strike="noStrike" kern="1200" baseline="0">
                <a:solidFill>
                  <a:srgbClr val="010000"/>
                </a:solidFill>
                <a:latin typeface="Arial" panose="020B0604020202020204"/>
                <a:ea typeface="Arial" panose="020B0604020202020204"/>
                <a:cs typeface="Arial" panose="020B0604020202020204"/>
              </a:defRPr>
            </a:pPr>
          </a:p>
        </c:txPr>
        <c:crossAx val="825589712"/>
        <c:crosses val="autoZero"/>
        <c:crossBetween val="midCat"/>
        <c:majorUnit val="3"/>
      </c:valAx>
      <c:spPr>
        <a:noFill/>
        <a:ln w="25400">
          <a:noFill/>
        </a:ln>
      </c:spPr>
    </c:plotArea>
    <c:plotVisOnly val="1"/>
    <c:dispBlanksAs val="gap"/>
    <c:showDLblsOverMax val="0"/>
    <c:extLst>
      <c:ext uri="{0b15fc19-7d7d-44ad-8c2d-2c3a37ce22c3}">
        <chartProps xmlns="https://web.wps.cn/et/2018/main" chartId="{e277d2d1-fccd-46eb-8aea-67a3fba73fb8}"/>
      </c:ext>
    </c:extLst>
  </c:chart>
  <c:spPr>
    <a:solidFill>
      <a:srgbClr val="FFFFFF"/>
    </a:solidFill>
    <a:ln w="6350" cap="flat" cmpd="sng" algn="ctr">
      <a:noFill/>
      <a:prstDash val="solid"/>
      <a:round/>
    </a:ln>
  </c:spPr>
  <c:txPr>
    <a:bodyPr/>
    <a:lstStyle/>
    <a:p>
      <a:pPr>
        <a:defRPr lang="zh-CN" sz="525"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43067279780827"/>
          <c:y val="0.171816451898852"/>
          <c:w val="0.839022576541286"/>
          <c:h val="0.647575289743487"/>
        </c:manualLayout>
      </c:layout>
      <c:lineChart>
        <c:grouping val="standard"/>
        <c:varyColors val="0"/>
        <c:ser>
          <c:idx val="1"/>
          <c:order val="0"/>
          <c:tx>
            <c:strRef>
              <c:f>"zeros"</c:f>
              <c:strCache>
                <c:ptCount val="1"/>
                <c:pt idx="0">
                  <c:v>zeros</c:v>
                </c:pt>
              </c:strCache>
            </c:strRef>
          </c:tx>
          <c:spPr>
            <a:ln w="6350" cap="rnd" cmpd="sng" algn="ctr">
              <a:solidFill>
                <a:srgbClr val="A6A6A6"/>
              </a:solidFill>
              <a:prstDash val="solid"/>
              <a:round/>
            </a:ln>
          </c:spPr>
          <c:marker>
            <c:symbol val="none"/>
          </c:marker>
          <c:dLbls>
            <c:delete val="1"/>
          </c:dLbls>
          <c:cat>
            <c:numRef>
              <c:f>{45658,45689,45717,45748,45778,45809,45839}</c:f>
              <c:numCache>
                <c:formatCode>General</c:formatCode>
                <c:ptCount val="7"/>
                <c:pt idx="0">
                  <c:v>45658</c:v>
                </c:pt>
                <c:pt idx="1">
                  <c:v>45689</c:v>
                </c:pt>
                <c:pt idx="2">
                  <c:v>45717</c:v>
                </c:pt>
                <c:pt idx="3">
                  <c:v>45748</c:v>
                </c:pt>
                <c:pt idx="4">
                  <c:v>45778</c:v>
                </c:pt>
                <c:pt idx="5">
                  <c:v>45809</c:v>
                </c:pt>
                <c:pt idx="6">
                  <c:v>45839</c:v>
                </c:pt>
              </c:numCache>
            </c:numRef>
          </c:cat>
          <c:val>
            <c:numRef>
              <c:f>{0,0,0,0,0,0,0}</c:f>
              <c:numCache>
                <c:formatCode>General</c:formatCode>
                <c:ptCount val="7"/>
                <c:pt idx="0">
                  <c:v>0</c:v>
                </c:pt>
                <c:pt idx="1">
                  <c:v>0</c:v>
                </c:pt>
                <c:pt idx="2">
                  <c:v>0</c:v>
                </c:pt>
                <c:pt idx="3">
                  <c:v>0</c:v>
                </c:pt>
                <c:pt idx="4">
                  <c:v>0</c:v>
                </c:pt>
                <c:pt idx="5">
                  <c:v>0</c:v>
                </c:pt>
                <c:pt idx="6">
                  <c:v>0</c:v>
                </c:pt>
              </c:numCache>
            </c:numRef>
          </c:val>
          <c:smooth val="0"/>
        </c:ser>
        <c:ser>
          <c:idx val="0"/>
          <c:order val="1"/>
          <c:tx>
            <c:strRef>
              <c:f>"Net Exports"</c:f>
              <c:strCache>
                <c:ptCount val="1"/>
                <c:pt idx="0">
                  <c:v>Net Exports</c:v>
                </c:pt>
              </c:strCache>
            </c:strRef>
          </c:tx>
          <c:spPr>
            <a:ln w="15875" cap="rnd" cmpd="sng" algn="ctr">
              <a:solidFill>
                <a:srgbClr val="DC7900"/>
              </a:solidFill>
              <a:prstDash val="solid"/>
              <a:round/>
            </a:ln>
          </c:spPr>
          <c:marker>
            <c:symbol val="circle"/>
            <c:size val="5"/>
            <c:spPr>
              <a:solidFill>
                <a:srgbClr val="DC7900"/>
              </a:solidFill>
              <a:ln w="9525" cap="flat" cmpd="sng" algn="ctr">
                <a:solidFill>
                  <a:srgbClr val="DC7900"/>
                </a:solidFill>
                <a:prstDash val="solid"/>
                <a:round/>
              </a:ln>
            </c:spPr>
          </c:marker>
          <c:dLbls>
            <c:delete val="1"/>
          </c:dLbls>
          <c:cat>
            <c:numRef>
              <c:f>{45658,45689,45717,45748,45778,45809,45839}</c:f>
              <c:numCache>
                <c:formatCode>General</c:formatCode>
                <c:ptCount val="7"/>
                <c:pt idx="0">
                  <c:v>45658</c:v>
                </c:pt>
                <c:pt idx="1">
                  <c:v>45689</c:v>
                </c:pt>
                <c:pt idx="2">
                  <c:v>45717</c:v>
                </c:pt>
                <c:pt idx="3">
                  <c:v>45748</c:v>
                </c:pt>
                <c:pt idx="4">
                  <c:v>45778</c:v>
                </c:pt>
                <c:pt idx="5">
                  <c:v>45809</c:v>
                </c:pt>
                <c:pt idx="6">
                  <c:v>45839</c:v>
                </c:pt>
              </c:numCache>
            </c:numRef>
          </c:cat>
          <c:val>
            <c:numRef>
              <c:f>{-7.13180439335224,0.665517170087008,-14.574017181481,23.3391278147919,-3.25985508525397,7.7411222474645,-3.7635783868077}</c:f>
              <c:numCache>
                <c:formatCode>General</c:formatCode>
                <c:ptCount val="7"/>
                <c:pt idx="0">
                  <c:v>-7.13180439335224</c:v>
                </c:pt>
                <c:pt idx="1">
                  <c:v>0.665517170087008</c:v>
                </c:pt>
                <c:pt idx="2">
                  <c:v>-14.574017181481</c:v>
                </c:pt>
                <c:pt idx="3">
                  <c:v>23.3391278147919</c:v>
                </c:pt>
                <c:pt idx="4">
                  <c:v>-3.25985508525397</c:v>
                </c:pt>
                <c:pt idx="5">
                  <c:v>7.7411222474645</c:v>
                </c:pt>
                <c:pt idx="6">
                  <c:v>-3.7635783868077</c:v>
                </c:pt>
              </c:numCache>
            </c:numRef>
          </c:val>
          <c:smooth val="0"/>
        </c:ser>
        <c:dLbls>
          <c:showLegendKey val="0"/>
          <c:showVal val="0"/>
          <c:showCatName val="0"/>
          <c:showSerName val="0"/>
          <c:showPercent val="0"/>
          <c:showBubbleSize val="0"/>
        </c:dLbls>
        <c:marker val="1"/>
        <c:smooth val="0"/>
        <c:axId val="825592456"/>
        <c:axId val="825592848"/>
      </c:lineChart>
      <c:catAx>
        <c:axId val="825592456"/>
        <c:scaling>
          <c:orientation val="minMax"/>
        </c:scaling>
        <c:delete val="0"/>
        <c:axPos val="b"/>
        <c:numFmt formatCode="mm/yy" sourceLinked="0"/>
        <c:majorTickMark val="none"/>
        <c:minorTickMark val="none"/>
        <c:tickLblPos val="low"/>
        <c:spPr>
          <a:ln w="3175" cap="flat" cmpd="sng" algn="ctr">
            <a:solidFill>
              <a:srgbClr val="A6A6A6"/>
            </a:solidFill>
            <a:prstDash val="solid"/>
            <a:round/>
          </a:ln>
        </c:spPr>
        <c:txPr>
          <a:bodyPr rot="0" spcFirstLastPara="0" vertOverflow="ellipsis" vert="horz" wrap="square" anchor="ctr" anchorCtr="1"/>
          <a:lstStyle/>
          <a:p>
            <a:pPr>
              <a:defRPr lang="zh-CN" sz="700" b="0" i="0" u="none" strike="noStrike" kern="1200" baseline="0">
                <a:solidFill>
                  <a:srgbClr val="010000"/>
                </a:solidFill>
                <a:latin typeface="Arial" panose="020B0604020202020204"/>
                <a:ea typeface="Arial" panose="020B0604020202020204"/>
                <a:cs typeface="Arial" panose="020B0604020202020204"/>
              </a:defRPr>
            </a:pPr>
          </a:p>
        </c:txPr>
        <c:crossAx val="825592848"/>
        <c:crossesAt val="-100"/>
        <c:auto val="1"/>
        <c:lblAlgn val="ctr"/>
        <c:lblOffset val="100"/>
        <c:tickLblSkip val="1"/>
        <c:noMultiLvlLbl val="0"/>
      </c:catAx>
      <c:valAx>
        <c:axId val="825592848"/>
        <c:scaling>
          <c:orientation val="minMax"/>
          <c:max val="29"/>
          <c:min val="-18"/>
        </c:scaling>
        <c:delete val="0"/>
        <c:axPos val="l"/>
        <c:numFmt formatCode="0" sourceLinked="0"/>
        <c:majorTickMark val="none"/>
        <c:minorTickMark val="none"/>
        <c:tickLblPos val="nextTo"/>
        <c:spPr>
          <a:ln w="3175" cap="flat" cmpd="sng" algn="ctr">
            <a:solidFill>
              <a:srgbClr val="A6A6A6"/>
            </a:solidFill>
            <a:prstDash val="solid"/>
            <a:round/>
          </a:ln>
        </c:spPr>
        <c:txPr>
          <a:bodyPr rot="0" spcFirstLastPara="0" vertOverflow="ellipsis" vert="horz" wrap="square" anchor="ctr" anchorCtr="1"/>
          <a:lstStyle/>
          <a:p>
            <a:pPr>
              <a:defRPr lang="zh-CN" sz="700" b="0" i="0" u="none" strike="noStrike" kern="1200" baseline="0">
                <a:solidFill>
                  <a:srgbClr val="010000"/>
                </a:solidFill>
                <a:latin typeface="Arial" panose="020B0604020202020204"/>
                <a:ea typeface="Arial" panose="020B0604020202020204"/>
                <a:cs typeface="Arial" panose="020B0604020202020204"/>
              </a:defRPr>
            </a:pPr>
          </a:p>
        </c:txPr>
        <c:crossAx val="825592456"/>
        <c:crosses val="autoZero"/>
        <c:crossBetween val="midCat"/>
        <c:majorUnit val="9"/>
      </c:valAx>
      <c:spPr>
        <a:noFill/>
        <a:ln w="25400">
          <a:noFill/>
        </a:ln>
      </c:spPr>
    </c:plotArea>
    <c:plotVisOnly val="1"/>
    <c:dispBlanksAs val="gap"/>
    <c:showDLblsOverMax val="0"/>
    <c:extLst>
      <c:ext uri="{0b15fc19-7d7d-44ad-8c2d-2c3a37ce22c3}">
        <chartProps xmlns="https://web.wps.cn/et/2018/main" chartId="{340173ad-b858-4c42-8f50-f03c136e03ee}"/>
      </c:ext>
    </c:extLst>
  </c:chart>
  <c:spPr>
    <a:solidFill>
      <a:srgbClr val="FFFFFF"/>
    </a:solidFill>
    <a:ln w="6350" cap="flat" cmpd="sng" algn="ctr">
      <a:noFill/>
      <a:prstDash val="solid"/>
      <a:round/>
    </a:ln>
  </c:spPr>
  <c:txPr>
    <a:bodyPr/>
    <a:lstStyle/>
    <a:p>
      <a:pPr>
        <a:defRPr lang="zh-CN" sz="5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0.143178365322791"/>
          <c:w val="1"/>
          <c:h val="0.632734794011221"/>
        </c:manualLayout>
      </c:layout>
      <c:barChart>
        <c:barDir val="col"/>
        <c:grouping val="clustered"/>
        <c:varyColors val="0"/>
        <c:ser>
          <c:idx val="1"/>
          <c:order val="1"/>
          <c:spPr>
            <a:solidFill>
              <a:srgbClr val="DC7900"/>
            </a:solidFill>
            <a:ln>
              <a:noFill/>
            </a:ln>
          </c:spPr>
          <c:invertIfNegative val="0"/>
          <c:dLbls>
            <c:delete val="1"/>
          </c:dLbls>
          <c:cat>
            <c:numRef>
              <c:f>{44013,44044,44075,44105,44136,44166,44197,44228,44256,44287,44317,44348,44378,44409,44440,44470,44501,44531}</c:f>
              <c:numCache>
                <c:formatCode>General</c:formatCode>
                <c:ptCount val="18"/>
                <c:pt idx="0">
                  <c:v>44013</c:v>
                </c:pt>
                <c:pt idx="1">
                  <c:v>44044</c:v>
                </c:pt>
                <c:pt idx="2">
                  <c:v>44075</c:v>
                </c:pt>
                <c:pt idx="3">
                  <c:v>44105</c:v>
                </c:pt>
                <c:pt idx="4">
                  <c:v>44136</c:v>
                </c:pt>
                <c:pt idx="5">
                  <c:v>44166</c:v>
                </c:pt>
                <c:pt idx="6">
                  <c:v>44197</c:v>
                </c:pt>
                <c:pt idx="7">
                  <c:v>44228</c:v>
                </c:pt>
                <c:pt idx="8">
                  <c:v>44256</c:v>
                </c:pt>
                <c:pt idx="9">
                  <c:v>44287</c:v>
                </c:pt>
                <c:pt idx="10">
                  <c:v>44317</c:v>
                </c:pt>
                <c:pt idx="11">
                  <c:v>44348</c:v>
                </c:pt>
                <c:pt idx="12">
                  <c:v>44378</c:v>
                </c:pt>
                <c:pt idx="13">
                  <c:v>44409</c:v>
                </c:pt>
                <c:pt idx="14">
                  <c:v>44440</c:v>
                </c:pt>
                <c:pt idx="15">
                  <c:v>44470</c:v>
                </c:pt>
                <c:pt idx="16">
                  <c:v>44501</c:v>
                </c:pt>
                <c:pt idx="17">
                  <c:v>44531</c:v>
                </c:pt>
              </c:numCache>
            </c:numRef>
          </c:cat>
          <c:val>
            <c:numRef>
              <c:f>{0,0,0,0,0,0,0,0,0,0,0,0,0,0,0,0,0,0}</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er>
        <c:dLbls>
          <c:showLegendKey val="0"/>
          <c:showVal val="0"/>
          <c:showCatName val="0"/>
          <c:showSerName val="0"/>
          <c:showPercent val="0"/>
          <c:showBubbleSize val="0"/>
        </c:dLbls>
        <c:gapWidth val="0"/>
        <c:axId val="78659231"/>
        <c:axId val="78653983"/>
      </c:barChart>
      <c:lineChart>
        <c:grouping val="standard"/>
        <c:varyColors val="0"/>
        <c:ser>
          <c:idx val="0"/>
          <c:order val="0"/>
          <c:tx>
            <c:strRef>
              <c:f>#REF!</c:f>
              <c:strCache>
                <c:ptCount val="1"/>
                <c:pt idx="0">
                  <c:v>#REF!</c:v>
                </c:pt>
              </c:strCache>
            </c:strRef>
          </c:tx>
          <c:spPr>
            <a:ln w="12700" cap="rnd" cmpd="sng" algn="ctr">
              <a:solidFill>
                <a:srgbClr val="006D89"/>
              </a:solidFill>
              <a:prstDash val="solid"/>
              <a:round/>
            </a:ln>
          </c:spPr>
          <c:marker>
            <c:symbol val="circle"/>
            <c:size val="5"/>
            <c:spPr>
              <a:solidFill>
                <a:srgbClr val="006D89"/>
              </a:solidFill>
              <a:ln w="9525" cap="flat" cmpd="sng" algn="ctr">
                <a:solidFill>
                  <a:srgbClr val="006D89"/>
                </a:solidFill>
                <a:prstDash val="solid"/>
                <a:round/>
              </a:ln>
            </c:spPr>
          </c:marker>
          <c:dPt>
            <c:idx val="16"/>
            <c:marker>
              <c:symbol val="circle"/>
              <c:size val="5"/>
              <c:spPr>
                <a:solidFill>
                  <a:srgbClr val="006D89"/>
                </a:solidFill>
                <a:ln w="9525" cap="flat" cmpd="sng" algn="ctr">
                  <a:solidFill>
                    <a:srgbClr val="006D89"/>
                  </a:solidFill>
                  <a:prstDash val="solid"/>
                  <a:round/>
                </a:ln>
              </c:spPr>
            </c:marker>
            <c:bubble3D val="0"/>
            <c:spPr>
              <a:ln w="12700" cap="rnd" cmpd="sng" algn="ctr">
                <a:solidFill>
                  <a:srgbClr val="006D89"/>
                </a:solidFill>
                <a:prstDash val="sysDot"/>
                <a:round/>
              </a:ln>
            </c:spPr>
          </c:dPt>
          <c:dPt>
            <c:idx val="17"/>
            <c:marker>
              <c:symbol val="circle"/>
              <c:size val="5"/>
              <c:spPr>
                <a:solidFill>
                  <a:srgbClr val="006D89"/>
                </a:solidFill>
                <a:ln w="9525" cap="flat" cmpd="sng" algn="ctr">
                  <a:solidFill>
                    <a:srgbClr val="006D89"/>
                  </a:solidFill>
                  <a:prstDash val="solid"/>
                  <a:round/>
                </a:ln>
              </c:spPr>
            </c:marker>
            <c:bubble3D val="0"/>
            <c:spPr>
              <a:ln w="12700" cap="rnd" cmpd="sng" algn="ctr">
                <a:solidFill>
                  <a:srgbClr val="006D89"/>
                </a:solidFill>
                <a:prstDash val="sysDot"/>
                <a:round/>
              </a:ln>
            </c:spPr>
          </c:dPt>
          <c:dLbls>
            <c:delete val="1"/>
          </c:dLbls>
          <c:cat>
            <c:numRef>
              <c:f>{45383,45413,45444,45474,45505,45536,45566,45597,45627,45658,45689,45717,45748,45778,45809,45839,45870,45901}</c:f>
              <c:numCache>
                <c:formatCode>General</c:formatCode>
                <c:ptCount val="18"/>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pt idx="13">
                  <c:v>45778</c:v>
                </c:pt>
                <c:pt idx="14">
                  <c:v>45809</c:v>
                </c:pt>
                <c:pt idx="15">
                  <c:v>45839</c:v>
                </c:pt>
                <c:pt idx="16">
                  <c:v>45870</c:v>
                </c:pt>
                <c:pt idx="17">
                  <c:v>45901</c:v>
                </c:pt>
              </c:numCache>
            </c:numRef>
          </c:cat>
          <c:val>
            <c:numRef>
              <c:f>{23172.5729785933,23257.5030553569,23245.7697041566,23393.8388354318,23405.4273506739,23405.8791993863,23517.0680398487,23591.3198632514,23523.0806281179,23522.9959788018,23490.2869977898,23529.212364929,23715.3092275933,23601.1242514312,23806.6935357957,23854.5316404293,23780.1736771049,23807.4298978511}</c:f>
              <c:numCache>
                <c:formatCode>General</c:formatCode>
                <c:ptCount val="18"/>
                <c:pt idx="0">
                  <c:v>23172.5729785933</c:v>
                </c:pt>
                <c:pt idx="1">
                  <c:v>23257.5030553569</c:v>
                </c:pt>
                <c:pt idx="2">
                  <c:v>23245.7697041566</c:v>
                </c:pt>
                <c:pt idx="3">
                  <c:v>23393.8388354318</c:v>
                </c:pt>
                <c:pt idx="4">
                  <c:v>23405.4273506739</c:v>
                </c:pt>
                <c:pt idx="5">
                  <c:v>23405.8791993863</c:v>
                </c:pt>
                <c:pt idx="6">
                  <c:v>23517.0680398487</c:v>
                </c:pt>
                <c:pt idx="7">
                  <c:v>23591.3198632514</c:v>
                </c:pt>
                <c:pt idx="8">
                  <c:v>23523.0806281179</c:v>
                </c:pt>
                <c:pt idx="9">
                  <c:v>23522.9959788018</c:v>
                </c:pt>
                <c:pt idx="10">
                  <c:v>23490.2869977898</c:v>
                </c:pt>
                <c:pt idx="11">
                  <c:v>23529.212364929</c:v>
                </c:pt>
                <c:pt idx="12">
                  <c:v>23715.3092275933</c:v>
                </c:pt>
                <c:pt idx="13">
                  <c:v>23601.1242514312</c:v>
                </c:pt>
                <c:pt idx="14">
                  <c:v>23806.6935357957</c:v>
                </c:pt>
                <c:pt idx="15">
                  <c:v>23854.5316404293</c:v>
                </c:pt>
                <c:pt idx="16">
                  <c:v>23780.1736771049</c:v>
                </c:pt>
                <c:pt idx="17">
                  <c:v>23807.4298978511</c:v>
                </c:pt>
              </c:numCache>
            </c:numRef>
          </c:val>
          <c:smooth val="0"/>
        </c:ser>
        <c:dLbls>
          <c:showLegendKey val="0"/>
          <c:showVal val="0"/>
          <c:showCatName val="0"/>
          <c:showSerName val="0"/>
          <c:showPercent val="0"/>
          <c:showBubbleSize val="0"/>
        </c:dLbls>
        <c:marker val="1"/>
        <c:smooth val="0"/>
        <c:axId val="825594416"/>
        <c:axId val="825594808"/>
      </c:lineChart>
      <c:catAx>
        <c:axId val="825594416"/>
        <c:scaling>
          <c:orientation val="minMax"/>
          <c:max val="18"/>
          <c:min val="1"/>
        </c:scaling>
        <c:delete val="0"/>
        <c:axPos val="b"/>
        <c:numFmt formatCode="mm/yy" sourceLinked="0"/>
        <c:majorTickMark val="none"/>
        <c:minorTickMark val="none"/>
        <c:tickLblPos val="nextTo"/>
        <c:spPr>
          <a:ln w="3175" cap="flat" cmpd="sng" algn="ctr">
            <a:solidFill>
              <a:srgbClr val="A6A6A6"/>
            </a:solidFill>
            <a:prstDash val="solid"/>
            <a:round/>
          </a:ln>
        </c:spPr>
        <c:txPr>
          <a:bodyPr rot="0" spcFirstLastPara="0" vertOverflow="ellipsis" vert="horz" wrap="square" anchor="ctr" anchorCtr="1"/>
          <a:lstStyle/>
          <a:p>
            <a:pPr>
              <a:defRPr lang="zh-CN" sz="800" b="0" i="0" u="none" strike="noStrike" kern="1200" baseline="0">
                <a:solidFill>
                  <a:srgbClr val="010000"/>
                </a:solidFill>
                <a:latin typeface="Arial" panose="020B0604020202020204"/>
                <a:ea typeface="Arial" panose="020B0604020202020204"/>
                <a:cs typeface="Arial" panose="020B0604020202020204"/>
              </a:defRPr>
            </a:pPr>
          </a:p>
        </c:txPr>
        <c:crossAx val="825594808"/>
        <c:crosses val="autoZero"/>
        <c:auto val="1"/>
        <c:lblAlgn val="ctr"/>
        <c:lblOffset val="100"/>
        <c:tickLblSkip val="3"/>
        <c:tickMarkSkip val="3"/>
        <c:noMultiLvlLbl val="0"/>
      </c:catAx>
      <c:valAx>
        <c:axId val="825594808"/>
        <c:scaling>
          <c:orientation val="minMax"/>
          <c:min val="22500"/>
        </c:scaling>
        <c:delete val="0"/>
        <c:axPos val="l"/>
        <c:numFmt formatCode="#,##0" sourceLinked="0"/>
        <c:majorTickMark val="none"/>
        <c:minorTickMark val="none"/>
        <c:tickLblPos val="nextTo"/>
        <c:spPr>
          <a:ln w="3175" cap="flat" cmpd="sng" algn="ctr">
            <a:solidFill>
              <a:srgbClr val="A6A6A6"/>
            </a:solidFill>
            <a:prstDash val="solid"/>
            <a:round/>
          </a:ln>
        </c:spPr>
        <c:txPr>
          <a:bodyPr rot="0" spcFirstLastPara="0" vertOverflow="ellipsis" vert="horz" wrap="square" anchor="ctr" anchorCtr="1"/>
          <a:lstStyle/>
          <a:p>
            <a:pPr>
              <a:defRPr lang="zh-CN" sz="800" b="0" i="0" u="none" strike="noStrike" kern="1200" baseline="0">
                <a:solidFill>
                  <a:srgbClr val="010000"/>
                </a:solidFill>
                <a:latin typeface="Arial" panose="020B0604020202020204"/>
                <a:ea typeface="Arial" panose="020B0604020202020204"/>
                <a:cs typeface="Arial" panose="020B0604020202020204"/>
              </a:defRPr>
            </a:pPr>
          </a:p>
        </c:txPr>
        <c:crossAx val="825594416"/>
        <c:crosses val="autoZero"/>
        <c:crossBetween val="midCat"/>
        <c:majorUnit val="500"/>
      </c:valAx>
      <c:catAx>
        <c:axId val="78659231"/>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550" b="0" i="0" u="none" strike="noStrike" kern="1200" baseline="0">
                <a:solidFill>
                  <a:srgbClr val="000000"/>
                </a:solidFill>
                <a:latin typeface="Arial" panose="020B0604020202020204"/>
                <a:ea typeface="Arial" panose="020B0604020202020204"/>
                <a:cs typeface="Arial" panose="020B0604020202020204"/>
              </a:defRPr>
            </a:pPr>
          </a:p>
        </c:txPr>
        <c:crossAx val="78653983"/>
        <c:crosses val="autoZero"/>
        <c:auto val="1"/>
        <c:lblAlgn val="ctr"/>
        <c:lblOffset val="100"/>
        <c:noMultiLvlLbl val="0"/>
      </c:catAx>
      <c:valAx>
        <c:axId val="78653983"/>
        <c:scaling>
          <c:orientation val="minMax"/>
          <c:max val="1"/>
        </c:scaling>
        <c:delete val="0"/>
        <c:axPos val="r"/>
        <c:numFmt formatCode="General" sourceLinked="1"/>
        <c:majorTickMark val="none"/>
        <c:minorTickMark val="none"/>
        <c:tickLblPos val="none"/>
        <c:spPr>
          <a:ln w="9525" cap="flat" cmpd="sng" algn="ctr">
            <a:noFill/>
            <a:prstDash val="solid"/>
            <a:round/>
          </a:ln>
        </c:spPr>
        <c:txPr>
          <a:bodyPr rot="-60000000" spcFirstLastPara="0" vertOverflow="ellipsis" vert="horz" wrap="square" anchor="ctr" anchorCtr="1"/>
          <a:lstStyle/>
          <a:p>
            <a:pPr>
              <a:defRPr lang="zh-CN" sz="800" b="0" i="0" u="none" strike="noStrike" kern="1200" baseline="0">
                <a:solidFill>
                  <a:srgbClr val="010000"/>
                </a:solidFill>
                <a:latin typeface="Arial" panose="020B0604020202020204"/>
                <a:ea typeface="Arial" panose="020B0604020202020204"/>
                <a:cs typeface="Arial" panose="020B0604020202020204"/>
              </a:defRPr>
            </a:pPr>
          </a:p>
        </c:txPr>
        <c:crossAx val="78659231"/>
        <c:crosses val="max"/>
        <c:crossBetween val="between"/>
      </c:valAx>
      <c:spPr>
        <a:noFill/>
        <a:ln w="25400">
          <a:noFill/>
        </a:ln>
      </c:spPr>
    </c:plotArea>
    <c:plotVisOnly val="1"/>
    <c:dispBlanksAs val="gap"/>
    <c:showDLblsOverMax val="0"/>
    <c:extLst>
      <c:ext uri="{0b15fc19-7d7d-44ad-8c2d-2c3a37ce22c3}">
        <chartProps xmlns="https://web.wps.cn/et/2018/main" chartId="{afc9c97a-f1a2-44e3-a72a-660e36f289d7}"/>
      </c:ext>
    </c:extLst>
  </c:chart>
  <c:spPr>
    <a:solidFill>
      <a:srgbClr val="FFFFFF"/>
    </a:solidFill>
    <a:ln w="6350" cap="flat" cmpd="sng" algn="ctr">
      <a:noFill/>
      <a:prstDash val="solid"/>
      <a:round/>
    </a:ln>
    <a:effectLst/>
  </c:spPr>
  <c:txPr>
    <a:bodyPr/>
    <a:lstStyle/>
    <a:p>
      <a:pPr>
        <a:defRPr lang="zh-CN" sz="55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62742914711419"/>
          <c:y val="0.0932566557018792"/>
          <c:w val="0.867451417057716"/>
          <c:h val="0.614638560387903"/>
        </c:manualLayout>
      </c:layout>
      <c:lineChart>
        <c:grouping val="standard"/>
        <c:varyColors val="0"/>
        <c:ser>
          <c:idx val="1"/>
          <c:order val="0"/>
          <c:tx>
            <c:strRef>
              <c:f>"zeros"</c:f>
              <c:strCache>
                <c:ptCount val="1"/>
                <c:pt idx="0">
                  <c:v>zeros</c:v>
                </c:pt>
              </c:strCache>
            </c:strRef>
          </c:tx>
          <c:spPr>
            <a:ln w="6350" cap="rnd" cmpd="sng" algn="ctr">
              <a:solidFill>
                <a:srgbClr val="A6A6A6"/>
              </a:solidFill>
              <a:prstDash val="solid"/>
              <a:round/>
            </a:ln>
          </c:spPr>
          <c:marker>
            <c:symbol val="none"/>
          </c:marker>
          <c:dLbls>
            <c:delete val="1"/>
          </c:dLbls>
          <c:cat>
            <c:numRef>
              <c:f>{45658,45689,45717,45748,45778,45809,45839}</c:f>
              <c:numCache>
                <c:formatCode>General</c:formatCode>
                <c:ptCount val="7"/>
                <c:pt idx="0">
                  <c:v>45658</c:v>
                </c:pt>
                <c:pt idx="1">
                  <c:v>45689</c:v>
                </c:pt>
                <c:pt idx="2">
                  <c:v>45717</c:v>
                </c:pt>
                <c:pt idx="3">
                  <c:v>45748</c:v>
                </c:pt>
                <c:pt idx="4">
                  <c:v>45778</c:v>
                </c:pt>
                <c:pt idx="5">
                  <c:v>45809</c:v>
                </c:pt>
                <c:pt idx="6">
                  <c:v>45839</c:v>
                </c:pt>
              </c:numCache>
            </c:numRef>
          </c:cat>
          <c:val>
            <c:numRef>
              <c:f>{0,0,0,0,0,0,0}</c:f>
              <c:numCache>
                <c:formatCode>General</c:formatCode>
                <c:ptCount val="7"/>
                <c:pt idx="0">
                  <c:v>0</c:v>
                </c:pt>
                <c:pt idx="1">
                  <c:v>0</c:v>
                </c:pt>
                <c:pt idx="2">
                  <c:v>0</c:v>
                </c:pt>
                <c:pt idx="3">
                  <c:v>0</c:v>
                </c:pt>
                <c:pt idx="4">
                  <c:v>0</c:v>
                </c:pt>
                <c:pt idx="5">
                  <c:v>0</c:v>
                </c:pt>
                <c:pt idx="6">
                  <c:v>0</c:v>
                </c:pt>
              </c:numCache>
            </c:numRef>
          </c:val>
          <c:smooth val="0"/>
        </c:ser>
        <c:ser>
          <c:idx val="0"/>
          <c:order val="1"/>
          <c:tx>
            <c:strRef>
              <c:f>"CIPI"</c:f>
              <c:strCache>
                <c:ptCount val="1"/>
                <c:pt idx="0">
                  <c:v>CIPI</c:v>
                </c:pt>
              </c:strCache>
            </c:strRef>
          </c:tx>
          <c:spPr>
            <a:ln w="15875" cap="rnd" cmpd="sng" algn="ctr">
              <a:solidFill>
                <a:srgbClr val="DC7900"/>
              </a:solidFill>
              <a:prstDash val="solid"/>
              <a:round/>
            </a:ln>
          </c:spPr>
          <c:marker>
            <c:symbol val="circle"/>
            <c:size val="5"/>
            <c:spPr>
              <a:solidFill>
                <a:srgbClr val="DC7900"/>
              </a:solidFill>
              <a:ln w="9525" cap="flat" cmpd="sng" algn="ctr">
                <a:solidFill>
                  <a:srgbClr val="DC7900"/>
                </a:solidFill>
                <a:prstDash val="solid"/>
                <a:round/>
              </a:ln>
            </c:spPr>
          </c:marker>
          <c:dLbls>
            <c:delete val="1"/>
          </c:dLbls>
          <c:cat>
            <c:numRef>
              <c:f>{45658,45689,45717,45748,45778,45809,45839}</c:f>
              <c:numCache>
                <c:formatCode>General</c:formatCode>
                <c:ptCount val="7"/>
                <c:pt idx="0">
                  <c:v>45658</c:v>
                </c:pt>
                <c:pt idx="1">
                  <c:v>45689</c:v>
                </c:pt>
                <c:pt idx="2">
                  <c:v>45717</c:v>
                </c:pt>
                <c:pt idx="3">
                  <c:v>45748</c:v>
                </c:pt>
                <c:pt idx="4">
                  <c:v>45778</c:v>
                </c:pt>
                <c:pt idx="5">
                  <c:v>45809</c:v>
                </c:pt>
                <c:pt idx="6">
                  <c:v>45839</c:v>
                </c:pt>
              </c:numCache>
            </c:numRef>
          </c:cat>
          <c:val>
            <c:numRef>
              <c:f>{10.9998307185247,-1.54405113169205,7.61854283446334,-15.0250713389624,-0.120746726174187,1.33954767391879,0.704001466151621}</c:f>
              <c:numCache>
                <c:formatCode>General</c:formatCode>
                <c:ptCount val="7"/>
                <c:pt idx="0">
                  <c:v>10.9998307185247</c:v>
                </c:pt>
                <c:pt idx="1">
                  <c:v>-1.54405113169205</c:v>
                </c:pt>
                <c:pt idx="2">
                  <c:v>7.61854283446334</c:v>
                </c:pt>
                <c:pt idx="3">
                  <c:v>-15.0250713389624</c:v>
                </c:pt>
                <c:pt idx="4">
                  <c:v>-0.120746726174187</c:v>
                </c:pt>
                <c:pt idx="5">
                  <c:v>1.33954767391879</c:v>
                </c:pt>
                <c:pt idx="6">
                  <c:v>0.704001466151621</c:v>
                </c:pt>
              </c:numCache>
            </c:numRef>
          </c:val>
          <c:smooth val="0"/>
        </c:ser>
        <c:dLbls>
          <c:showLegendKey val="0"/>
          <c:showVal val="0"/>
          <c:showCatName val="0"/>
          <c:showSerName val="0"/>
          <c:showPercent val="0"/>
          <c:showBubbleSize val="0"/>
        </c:dLbls>
        <c:marker val="1"/>
        <c:smooth val="0"/>
        <c:axId val="825592064"/>
        <c:axId val="825591672"/>
      </c:lineChart>
      <c:catAx>
        <c:axId val="825592064"/>
        <c:scaling>
          <c:orientation val="minMax"/>
        </c:scaling>
        <c:delete val="0"/>
        <c:axPos val="b"/>
        <c:numFmt formatCode="mm/yy" sourceLinked="0"/>
        <c:majorTickMark val="none"/>
        <c:minorTickMark val="none"/>
        <c:tickLblPos val="low"/>
        <c:spPr>
          <a:ln w="3175" cap="flat" cmpd="sng" algn="ctr">
            <a:solidFill>
              <a:srgbClr val="A6A6A6"/>
            </a:solidFill>
            <a:prstDash val="solid"/>
            <a:round/>
          </a:ln>
        </c:spPr>
        <c:txPr>
          <a:bodyPr rot="0" spcFirstLastPara="0" vertOverflow="ellipsis" vert="horz" wrap="square" anchor="ctr" anchorCtr="1"/>
          <a:lstStyle/>
          <a:p>
            <a:pPr>
              <a:defRPr lang="zh-CN" sz="700" b="0" i="0" u="none" strike="noStrike" kern="1200" baseline="0">
                <a:solidFill>
                  <a:srgbClr val="010000"/>
                </a:solidFill>
                <a:latin typeface="Arial" panose="020B0604020202020204"/>
                <a:ea typeface="Arial" panose="020B0604020202020204"/>
                <a:cs typeface="Arial" panose="020B0604020202020204"/>
              </a:defRPr>
            </a:pPr>
          </a:p>
        </c:txPr>
        <c:crossAx val="825591672"/>
        <c:crossesAt val="-100"/>
        <c:auto val="1"/>
        <c:lblAlgn val="ctr"/>
        <c:lblOffset val="100"/>
        <c:tickLblSkip val="1"/>
        <c:noMultiLvlLbl val="0"/>
      </c:catAx>
      <c:valAx>
        <c:axId val="825591672"/>
        <c:scaling>
          <c:orientation val="minMax"/>
          <c:max val="18"/>
          <c:min val="-27"/>
        </c:scaling>
        <c:delete val="0"/>
        <c:axPos val="l"/>
        <c:numFmt formatCode="0" sourceLinked="0"/>
        <c:majorTickMark val="none"/>
        <c:minorTickMark val="none"/>
        <c:tickLblPos val="nextTo"/>
        <c:spPr>
          <a:ln w="3175" cap="flat" cmpd="sng" algn="ctr">
            <a:solidFill>
              <a:srgbClr val="A6A6A6"/>
            </a:solidFill>
            <a:prstDash val="solid"/>
            <a:round/>
          </a:ln>
        </c:spPr>
        <c:txPr>
          <a:bodyPr rot="0" spcFirstLastPara="0" vertOverflow="ellipsis" vert="horz" wrap="square" anchor="ctr" anchorCtr="1"/>
          <a:lstStyle/>
          <a:p>
            <a:pPr>
              <a:defRPr lang="zh-CN" sz="700" b="0" i="0" u="none" strike="noStrike" kern="1200" baseline="0">
                <a:solidFill>
                  <a:srgbClr val="010000"/>
                </a:solidFill>
                <a:latin typeface="Arial" panose="020B0604020202020204"/>
                <a:ea typeface="Arial" panose="020B0604020202020204"/>
                <a:cs typeface="Arial" panose="020B0604020202020204"/>
              </a:defRPr>
            </a:pPr>
          </a:p>
        </c:txPr>
        <c:crossAx val="825592064"/>
        <c:crosses val="autoZero"/>
        <c:crossBetween val="midCat"/>
        <c:majorUnit val="9"/>
      </c:valAx>
      <c:spPr>
        <a:noFill/>
        <a:ln w="25400">
          <a:noFill/>
        </a:ln>
      </c:spPr>
    </c:plotArea>
    <c:plotVisOnly val="1"/>
    <c:dispBlanksAs val="gap"/>
    <c:showDLblsOverMax val="0"/>
    <c:extLst>
      <c:ext uri="{0b15fc19-7d7d-44ad-8c2d-2c3a37ce22c3}">
        <chartProps xmlns="https://web.wps.cn/et/2018/main" chartId="{26d1c573-fd81-4b53-988f-8e5398fff335}"/>
      </c:ext>
    </c:extLst>
  </c:chart>
  <c:spPr>
    <a:solidFill>
      <a:srgbClr val="FFFFFF"/>
    </a:solidFill>
    <a:ln w="6350" cap="flat" cmpd="sng" algn="ctr">
      <a:noFill/>
      <a:prstDash val="solid"/>
      <a:round/>
    </a:ln>
  </c:spPr>
  <c:txPr>
    <a:bodyPr/>
    <a:lstStyle/>
    <a:p>
      <a:pPr>
        <a:defRPr lang="zh-CN" sz="500" b="0" i="0" u="none" strike="noStrike" baseline="0">
          <a:solidFill>
            <a:srgbClr val="000000"/>
          </a:solidFill>
          <a:latin typeface="Arial" panose="020B0604020202020204"/>
          <a:ea typeface="Arial" panose="020B0604020202020204"/>
          <a:cs typeface="Arial" panose="020B0604020202020204"/>
        </a:defRPr>
      </a:pPr>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304800</xdr:colOff>
      <xdr:row>20</xdr:row>
      <xdr:rowOff>76200</xdr:rowOff>
    </xdr:from>
    <xdr:to>
      <xdr:col>2</xdr:col>
      <xdr:colOff>381000</xdr:colOff>
      <xdr:row>21</xdr:row>
      <xdr:rowOff>101601</xdr:rowOff>
    </xdr:to>
    <xdr:sp>
      <xdr:nvSpPr>
        <xdr:cNvPr id="4" name="Text Box 2"/>
        <xdr:cNvSpPr txBox="1">
          <a:spLocks noChangeArrowheads="1"/>
        </xdr:cNvSpPr>
      </xdr:nvSpPr>
      <xdr:spPr>
        <a:xfrm>
          <a:off x="1329690" y="4697730"/>
          <a:ext cx="76200" cy="184150"/>
        </a:xfrm>
        <a:prstGeom prst="rect">
          <a:avLst/>
        </a:prstGeom>
        <a:noFill/>
        <a:ln w="9525">
          <a:noFill/>
          <a:miter lim="800000"/>
        </a:ln>
      </xdr:spPr>
    </xdr:sp>
    <xdr:clientData/>
  </xdr:twoCellAnchor>
  <xdr:twoCellAnchor>
    <xdr:from>
      <xdr:col>16</xdr:col>
      <xdr:colOff>356152</xdr:colOff>
      <xdr:row>8</xdr:row>
      <xdr:rowOff>356152</xdr:rowOff>
    </xdr:from>
    <xdr:to>
      <xdr:col>18</xdr:col>
      <xdr:colOff>188429</xdr:colOff>
      <xdr:row>8</xdr:row>
      <xdr:rowOff>804454</xdr:rowOff>
    </xdr:to>
    <xdr:pic>
      <xdr:nvPicPr>
        <xdr:cNvPr id="7" name="Picture 6"/>
        <xdr:cNvPicPr>
          <a:picLocks noChangeAspect="1" noChangeArrowheads="1"/>
        </xdr:cNvPicPr>
      </xdr:nvPicPr>
      <xdr:blipFill>
        <a:blip r:embed="rId1" cstate="print">
          <a:extLst>
            <a:ext uri="{28A0092B-C50C-407E-A947-70E740481C1C}">
              <a14:useLocalDpi xmlns:a14="http://schemas.microsoft.com/office/drawing/2010/main" val="0"/>
            </a:ext>
          </a:extLst>
        </a:blip>
        <a:srcRect l="62418"/>
        <a:stretch>
          <a:fillRect/>
        </a:stretch>
      </xdr:blipFill>
      <xdr:spPr>
        <a:xfrm>
          <a:off x="10750550" y="2021205"/>
          <a:ext cx="1170940" cy="44831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pic>
    <xdr:clientData/>
  </xdr:twoCellAnchor>
  <xdr:twoCellAnchor editAs="oneCell">
    <xdr:from>
      <xdr:col>1</xdr:col>
      <xdr:colOff>0</xdr:colOff>
      <xdr:row>8</xdr:row>
      <xdr:rowOff>0</xdr:rowOff>
    </xdr:from>
    <xdr:to>
      <xdr:col>12</xdr:col>
      <xdr:colOff>465364</xdr:colOff>
      <xdr:row>8</xdr:row>
      <xdr:rowOff>885825</xdr:rowOff>
    </xdr:to>
    <xdr:sp>
      <xdr:nvSpPr>
        <xdr:cNvPr id="2" name="Text Box 1"/>
        <xdr:cNvSpPr txBox="1">
          <a:spLocks noChangeArrowheads="1"/>
        </xdr:cNvSpPr>
      </xdr:nvSpPr>
      <xdr:spPr>
        <a:xfrm>
          <a:off x="198120" y="1665605"/>
          <a:ext cx="7984490" cy="885825"/>
        </a:xfrm>
        <a:prstGeom prst="rect">
          <a:avLst/>
        </a:prstGeom>
        <a:noFill/>
        <a:ln w="9525">
          <a:noFill/>
          <a:miter lim="800000"/>
        </a:ln>
        <a:effectLst/>
      </xdr:spPr>
      <xdr:txBody>
        <a:bodyPr vertOverflow="clip" wrap="square" lIns="27432" tIns="22860" rIns="0" bIns="22860" anchor="ctr" upright="1"/>
        <a:lstStyle/>
        <a:p>
          <a:r>
            <a:rPr lang="en-US" sz="700" b="1">
              <a:solidFill>
                <a:srgbClr val="C00000"/>
              </a:solidFill>
              <a:effectLst/>
              <a:latin typeface="+mn-lt"/>
              <a:ea typeface="+mn-ea"/>
              <a:cs typeface="+mn-cs"/>
            </a:rPr>
            <a:t>Disclaimer</a:t>
          </a:r>
          <a:br>
            <a:rPr lang="en-US" sz="1100" b="1">
              <a:effectLst/>
              <a:latin typeface="+mn-lt"/>
              <a:ea typeface="+mn-ea"/>
              <a:cs typeface="+mn-cs"/>
            </a:rPr>
          </a:br>
          <a:r>
            <a:rPr lang="en-GB" sz="500">
              <a:solidFill>
                <a:srgbClr val="58595B"/>
              </a:solidFill>
              <a:latin typeface="+mn-lt"/>
              <a:ea typeface="+mn-ea"/>
              <a:cs typeface="+mn-cs"/>
            </a:rPr>
            <a:t>These materials have been prepared solely for information purposes based upon information generally available to the public and from sources believed to be reliable. No content (including index data, ratings, credit-related analyses and data, research, model, software or other application or output therefrom) or any part thereof (Content) may be modified, reverse engineered, reproduced or distributed in any form by any means, or stored in a database or retrieval system, without the prior written permission of S&amp;P Global Market Intelligence or its affiliates (collectively S&amp;P Global). The Content shall not be used for any unlawful or unauthorized purposes. S&amp;P Global and any third-party providers (collectively S&amp;P Global Parties) do not guarantee the accuracy, completeness, timeliness or availability of the Content. S&amp;P Global Parties are not responsible for any errors or omissions, regardless of the cause, for the results obtained from the use of the Content. THE CONTENT IS PROVIDED ON “AS IS” BASIS. S&amp;P GLOBAL PARTIES DISCLAIM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Global Parties be liable to any party for any direct, indirect, incidental, exemplary, compensatory, punitive, special or con-sequential damages, costs, expenses, legal fees, or losses (including, without limitation, lost income or lost profits and opportunity costs or losses caused by negligence) in connection with any use of the Content even if advised of the possibility of such damages.  </a:t>
          </a:r>
          <a:endParaRPr lang="en-GB" sz="500">
            <a:solidFill>
              <a:srgbClr val="58595B"/>
            </a:solidFill>
            <a:latin typeface="+mn-lt"/>
            <a:ea typeface="+mn-ea"/>
            <a:cs typeface="+mn-cs"/>
          </a:endParaRPr>
        </a:p>
      </xdr:txBody>
    </xdr:sp>
    <xdr:clientData/>
  </xdr:twoCellAnchor>
  <xdr:twoCellAnchor>
    <xdr:from>
      <xdr:col>1</xdr:col>
      <xdr:colOff>0</xdr:colOff>
      <xdr:row>8</xdr:row>
      <xdr:rowOff>38100</xdr:rowOff>
    </xdr:from>
    <xdr:to>
      <xdr:col>18</xdr:col>
      <xdr:colOff>332014</xdr:colOff>
      <xdr:row>8</xdr:row>
      <xdr:rowOff>38100</xdr:rowOff>
    </xdr:to>
    <xdr:cxnSp>
      <xdr:nvCxnSpPr>
        <xdr:cNvPr id="3" name="Straight Connector 2"/>
        <xdr:cNvCxnSpPr/>
      </xdr:nvCxnSpPr>
      <xdr:spPr>
        <a:xfrm>
          <a:off x="198120" y="1703705"/>
          <a:ext cx="11866880" cy="0"/>
        </a:xfrm>
        <a:prstGeom prst="line">
          <a:avLst/>
        </a:prstGeom>
        <a:ln>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xdr:colOff>
      <xdr:row>8</xdr:row>
      <xdr:rowOff>876300</xdr:rowOff>
    </xdr:from>
    <xdr:to>
      <xdr:col>18</xdr:col>
      <xdr:colOff>332014</xdr:colOff>
      <xdr:row>8</xdr:row>
      <xdr:rowOff>876300</xdr:rowOff>
    </xdr:to>
    <xdr:cxnSp>
      <xdr:nvCxnSpPr>
        <xdr:cNvPr id="5" name="Straight Connector 4"/>
        <xdr:cNvCxnSpPr/>
      </xdr:nvCxnSpPr>
      <xdr:spPr>
        <a:xfrm>
          <a:off x="198120" y="2541905"/>
          <a:ext cx="11866880" cy="0"/>
        </a:xfrm>
        <a:prstGeom prst="line">
          <a:avLst/>
        </a:prstGeom>
        <a:ln>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7</xdr:col>
      <xdr:colOff>38101</xdr:colOff>
      <xdr:row>7</xdr:row>
      <xdr:rowOff>0</xdr:rowOff>
    </xdr:from>
    <xdr:to>
      <xdr:col>14</xdr:col>
      <xdr:colOff>486728</xdr:colOff>
      <xdr:row>7</xdr:row>
      <xdr:rowOff>0</xdr:rowOff>
    </xdr:to>
    <xdr:graphicFrame>
      <xdr:nvGraphicFramePr>
        <xdr:cNvPr id="14" name="Chart 2"/>
        <xdr:cNvGraphicFramePr/>
      </xdr:nvGraphicFramePr>
      <xdr:xfrm>
        <a:off x="3526155" y="824865"/>
        <a:ext cx="397129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171450</xdr:colOff>
      <xdr:row>0</xdr:row>
      <xdr:rowOff>38100</xdr:rowOff>
    </xdr:from>
    <xdr:to>
      <xdr:col>15</xdr:col>
      <xdr:colOff>19050</xdr:colOff>
      <xdr:row>1</xdr:row>
      <xdr:rowOff>409575</xdr:rowOff>
    </xdr:to>
    <xdr:pic>
      <xdr:nvPicPr>
        <xdr:cNvPr id="15" name="Picture 14"/>
        <xdr:cNvPicPr>
          <a:picLocks noChangeAspect="1" noChangeArrowheads="1"/>
        </xdr:cNvPicPr>
      </xdr:nvPicPr>
      <xdr:blipFill>
        <a:blip r:embed="rId7" cstate="print">
          <a:extLst>
            <a:ext uri="{28A0092B-C50C-407E-A947-70E740481C1C}">
              <a14:useLocalDpi xmlns:a14="http://schemas.microsoft.com/office/drawing/2010/main" val="0"/>
            </a:ext>
          </a:extLst>
        </a:blip>
        <a:srcRect l="62466" b="2265"/>
        <a:stretch>
          <a:fillRect/>
        </a:stretch>
      </xdr:blipFill>
      <xdr:spPr>
        <a:xfrm>
          <a:off x="6198235" y="38100"/>
          <a:ext cx="1361440"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pic>
    <xdr:clientData/>
  </xdr:twoCellAnchor>
  <xdr:twoCellAnchor>
    <xdr:from>
      <xdr:col>7</xdr:col>
      <xdr:colOff>38101</xdr:colOff>
      <xdr:row>23</xdr:row>
      <xdr:rowOff>101600</xdr:rowOff>
    </xdr:from>
    <xdr:to>
      <xdr:col>14</xdr:col>
      <xdr:colOff>483553</xdr:colOff>
      <xdr:row>39</xdr:row>
      <xdr:rowOff>29845</xdr:rowOff>
    </xdr:to>
    <xdr:graphicFrame>
      <xdr:nvGraphicFramePr>
        <xdr:cNvPr id="10" name="Chart 2"/>
        <xdr:cNvGraphicFramePr/>
      </xdr:nvGraphicFramePr>
      <xdr:xfrm>
        <a:off x="3526155" y="3504565"/>
        <a:ext cx="3968115" cy="24872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11388</xdr:colOff>
      <xdr:row>13</xdr:row>
      <xdr:rowOff>19048</xdr:rowOff>
    </xdr:from>
    <xdr:to>
      <xdr:col>14</xdr:col>
      <xdr:colOff>476250</xdr:colOff>
      <xdr:row>23</xdr:row>
      <xdr:rowOff>140804</xdr:rowOff>
    </xdr:to>
    <xdr:sp>
      <xdr:nvSpPr>
        <xdr:cNvPr id="11" name="Text Box 3"/>
        <xdr:cNvSpPr txBox="1">
          <a:spLocks noChangeArrowheads="1"/>
        </xdr:cNvSpPr>
      </xdr:nvSpPr>
      <xdr:spPr>
        <a:xfrm>
          <a:off x="3498850" y="1814830"/>
          <a:ext cx="3988435" cy="1728470"/>
        </a:xfrm>
        <a:prstGeom prst="rect">
          <a:avLst/>
        </a:prstGeom>
        <a:noFill/>
        <a:ln w="9525">
          <a:noFill/>
          <a:miter lim="800000"/>
        </a:ln>
      </xdr:spPr>
      <xdr:txBody>
        <a:bodyPr vertOverflow="clip" wrap="square" lIns="27432" tIns="22860" rIns="0" bIns="0" anchor="t" upright="1"/>
        <a:lstStyle/>
        <a:p>
          <a:pPr marL="0" marR="0" indent="0" defTabSz="914400" eaLnBrk="1" fontAlgn="auto" latinLnBrk="0" hangingPunct="1">
            <a:lnSpc>
              <a:spcPct val="100000"/>
            </a:lnSpc>
            <a:spcBef>
              <a:spcPts val="0"/>
            </a:spcBef>
            <a:spcAft>
              <a:spcPts val="0"/>
            </a:spcAft>
            <a:buClrTx/>
            <a:buSzTx/>
            <a:buFontTx/>
            <a:buNone/>
            <a:defRPr/>
          </a:pPr>
          <a:r>
            <a:rPr lang="en-US" sz="960" i="0" baseline="0">
              <a:latin typeface="Arial" panose="020B0604020202020204" pitchFamily="7" charset="0"/>
              <a:ea typeface="+mn-ea"/>
              <a:cs typeface="Arial" panose="020B0604020202020204" pitchFamily="7" charset="0"/>
            </a:rPr>
            <a:t>Monthly GDP rose 0.2% in July following a 0.9% increase in June that was revised up by 0.2 percentage point. The increase in July was more than accounted for by solid readings on personal consumption expenditures and nonresidential fixed investment. Net exports declined in July, while nonfarm inventory investment firmed. The level of GDP in July was 2.5% above the first-quarter average at an annual rate. Implicit in our latest tracking forecast of 1.8% GDP growth in the third quarter is a decline in monthly GDP in August followed by modest growth in September.</a:t>
          </a:r>
          <a:endParaRPr lang="en-US" sz="960" i="0" baseline="0">
            <a:latin typeface="Arial" panose="020B0604020202020204" pitchFamily="7" charset="0"/>
            <a:ea typeface="+mn-ea"/>
            <a:cs typeface="Arial" panose="020B0604020202020204" pitchFamily="7" charset="0"/>
          </a:endParaRPr>
        </a:p>
      </xdr:txBody>
    </xdr:sp>
    <xdr:clientData/>
  </xdr:twoCellAnchor>
  <xdr:twoCellAnchor>
    <xdr:from>
      <xdr:col>1</xdr:col>
      <xdr:colOff>0</xdr:colOff>
      <xdr:row>55</xdr:row>
      <xdr:rowOff>76200</xdr:rowOff>
    </xdr:from>
    <xdr:to>
      <xdr:col>15</xdr:col>
      <xdr:colOff>0</xdr:colOff>
      <xdr:row>58</xdr:row>
      <xdr:rowOff>139065</xdr:rowOff>
    </xdr:to>
    <xdr:sp>
      <xdr:nvSpPr>
        <xdr:cNvPr id="12" name="Text Box 6"/>
        <xdr:cNvSpPr txBox="1">
          <a:spLocks noChangeArrowheads="1"/>
        </xdr:cNvSpPr>
      </xdr:nvSpPr>
      <xdr:spPr>
        <a:xfrm>
          <a:off x="244475" y="8603615"/>
          <a:ext cx="7296150" cy="577215"/>
        </a:xfrm>
        <a:prstGeom prst="rect">
          <a:avLst/>
        </a:prstGeom>
        <a:solidFill>
          <a:srgbClr val="FFFFFF"/>
        </a:solidFill>
        <a:ln w="9525">
          <a:noFill/>
          <a:miter lim="800000"/>
        </a:ln>
      </xdr:spPr>
      <xdr:txBody>
        <a:bodyPr vertOverflow="clip" wrap="square" lIns="27432" tIns="22860" rIns="0" bIns="0" anchor="t" upright="1"/>
        <a:lstStyle/>
        <a:p>
          <a:pPr algn="l" rtl="1">
            <a:lnSpc>
              <a:spcPts val="800"/>
            </a:lnSpc>
            <a:defRPr sz="1000"/>
          </a:pPr>
          <a:r>
            <a:rPr lang="en-US" sz="800" b="1" i="0" strike="noStrike">
              <a:solidFill>
                <a:sysClr val="windowText" lastClr="000000"/>
              </a:solidFill>
              <a:latin typeface="Arial" panose="020B0604020202020204"/>
              <a:cs typeface="Arial" panose="020B0604020202020204"/>
            </a:rPr>
            <a:t>Note</a:t>
          </a:r>
          <a:r>
            <a:rPr lang="en-US" sz="800" b="1" i="0" strike="noStrike">
              <a:solidFill>
                <a:srgbClr val="00AB4E"/>
              </a:solidFill>
              <a:latin typeface="Arial" panose="020B0604020202020204"/>
              <a:cs typeface="Arial" panose="020B0604020202020204"/>
            </a:rPr>
            <a:t>:</a:t>
          </a:r>
          <a:r>
            <a:rPr lang="en-US" sz="800" b="0" i="0" strike="noStrike">
              <a:solidFill>
                <a:srgbClr val="000000"/>
              </a:solidFill>
              <a:latin typeface="Arial" panose="020B0604020202020204"/>
              <a:cs typeface="Arial" panose="020B0604020202020204"/>
            </a:rPr>
            <a:t> S&amp;P Global Market Intelligence's index of Monthly GDP (MGDP) is a monthly indicator of real aggregate output that is conceptually consistent with real Gross Domestic Product (GDP) in the NIPA’s.  The consistency is derived from two sources.  First, MGDP is calculated using much of the same underlying monthly source data that is used in the calculation of GDP.  Second, the method of aggregation to arrive at MGDP is similar to that for official GDP.  Growth of MGDP at the monthly frequency is determined primarily by movements in the underlying monthly source data, and growth of MGDP at the quarterly frequency is nearly identical to growth of real GDP.</a:t>
          </a:r>
          <a:endParaRPr lang="en-US" sz="800" b="0" i="0" strike="noStrike">
            <a:solidFill>
              <a:srgbClr val="000000"/>
            </a:solidFill>
            <a:latin typeface="Arial" panose="020B0604020202020204"/>
            <a:cs typeface="Arial" panose="020B0604020202020204"/>
          </a:endParaRPr>
        </a:p>
      </xdr:txBody>
    </xdr:sp>
    <xdr:clientData/>
  </xdr:twoCellAnchor>
  <xdr:twoCellAnchor>
    <xdr:from>
      <xdr:col>1</xdr:col>
      <xdr:colOff>42861</xdr:colOff>
      <xdr:row>26</xdr:row>
      <xdr:rowOff>37147</xdr:rowOff>
    </xdr:from>
    <xdr:to>
      <xdr:col>6</xdr:col>
      <xdr:colOff>23810</xdr:colOff>
      <xdr:row>35</xdr:row>
      <xdr:rowOff>52387</xdr:rowOff>
    </xdr:to>
    <xdr:graphicFrame>
      <xdr:nvGraphicFramePr>
        <xdr:cNvPr id="13" name="Chart 11"/>
        <xdr:cNvGraphicFramePr/>
      </xdr:nvGraphicFramePr>
      <xdr:xfrm>
        <a:off x="287020" y="3922395"/>
        <a:ext cx="2747010" cy="14503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44927</xdr:colOff>
      <xdr:row>35</xdr:row>
      <xdr:rowOff>47307</xdr:rowOff>
    </xdr:from>
    <xdr:to>
      <xdr:col>6</xdr:col>
      <xdr:colOff>19526</xdr:colOff>
      <xdr:row>44</xdr:row>
      <xdr:rowOff>62166</xdr:rowOff>
    </xdr:to>
    <xdr:graphicFrame>
      <xdr:nvGraphicFramePr>
        <xdr:cNvPr id="16" name="Chart 13"/>
        <xdr:cNvGraphicFramePr/>
      </xdr:nvGraphicFramePr>
      <xdr:xfrm>
        <a:off x="288925" y="5367655"/>
        <a:ext cx="2740660" cy="14687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xdr:colOff>
      <xdr:row>39</xdr:row>
      <xdr:rowOff>111919</xdr:rowOff>
    </xdr:from>
    <xdr:to>
      <xdr:col>14</xdr:col>
      <xdr:colOff>487789</xdr:colOff>
      <xdr:row>54</xdr:row>
      <xdr:rowOff>160882</xdr:rowOff>
    </xdr:to>
    <xdr:graphicFrame>
      <xdr:nvGraphicFramePr>
        <xdr:cNvPr id="17" name="Chart 4"/>
        <xdr:cNvGraphicFramePr/>
      </xdr:nvGraphicFramePr>
      <xdr:xfrm>
        <a:off x="3526155" y="6073775"/>
        <a:ext cx="3972560" cy="2453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46038</xdr:colOff>
      <xdr:row>43</xdr:row>
      <xdr:rowOff>130969</xdr:rowOff>
    </xdr:from>
    <xdr:to>
      <xdr:col>6</xdr:col>
      <xdr:colOff>26988</xdr:colOff>
      <xdr:row>54</xdr:row>
      <xdr:rowOff>145034</xdr:rowOff>
    </xdr:to>
    <xdr:graphicFrame>
      <xdr:nvGraphicFramePr>
        <xdr:cNvPr id="18" name="Chart 14"/>
        <xdr:cNvGraphicFramePr/>
      </xdr:nvGraphicFramePr>
      <xdr:xfrm>
        <a:off x="290195" y="6746875"/>
        <a:ext cx="2747010" cy="17665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5280</xdr:colOff>
      <xdr:row>24</xdr:row>
      <xdr:rowOff>161407</xdr:rowOff>
    </xdr:from>
    <xdr:to>
      <xdr:col>5</xdr:col>
      <xdr:colOff>496956</xdr:colOff>
      <xdr:row>55</xdr:row>
      <xdr:rowOff>6626</xdr:rowOff>
    </xdr:to>
    <xdr:sp>
      <xdr:nvSpPr>
        <xdr:cNvPr id="19" name="Rectangle 18"/>
        <xdr:cNvSpPr/>
      </xdr:nvSpPr>
      <xdr:spPr>
        <a:xfrm>
          <a:off x="249555" y="3720465"/>
          <a:ext cx="2760980" cy="48133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300" b="1" spc="20" dirty="0">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0.158</cdr:x>
      <cdr:y>0.02608</cdr:y>
    </cdr:from>
    <cdr:to>
      <cdr:x>0.92181</cdr:x>
      <cdr:y>0.09883</cdr:y>
    </cdr:to>
    <cdr:sp>
      <cdr:nvSpPr>
        <cdr:cNvPr id="2" name="矩形 1"/>
        <cdr:cNvSpPr>
          <a14:cpLocks xmlns:a14="http://schemas.microsoft.com/office/drawing/2010/main" noChangeArrowheads="1"/>
        </cdr:cNvSpPr>
      </cdr:nvSpPr>
      <cdr:spPr xmlns:a="http://schemas.openxmlformats.org/drawingml/2006/main">
        <a:xfrm xmlns:a="http://schemas.openxmlformats.org/drawingml/2006/main">
          <a:off x="519484" y="63611"/>
          <a:ext cx="2511287" cy="177442"/>
        </a:xfrm>
        <a:prstGeom xmlns:a="http://schemas.openxmlformats.org/drawingml/2006/main" prst="rect">
          <a:avLst/>
        </a:prstGeom>
        <a:noFill/>
        <a:ln w="1">
          <a:noFill/>
          <a:miter lim="800000"/>
        </a:ln>
      </cdr:spPr>
      <cdr:txBody xmlns:a="http://schemas.openxmlformats.org/drawingml/2006/main">
        <a:bodyPr vertOverflow="clip" wrap="square" lIns="27432" tIns="22860" rIns="27432" bIns="22860" anchor="ctr" upright="1"/>
        <a:lstStyle/>
        <a:p>
          <a:pPr algn="ctr" rtl="0">
            <a:defRPr sz="1000"/>
          </a:pPr>
          <a:endParaRPr lang="en-US" sz="800" b="0" i="0" strike="noStrike">
            <a:solidFill>
              <a:srgbClr val="000000"/>
            </a:solidFill>
            <a:latin typeface="Arial" panose="020B0604020202020204" pitchFamily="7" charset="0"/>
            <a:cs typeface="Arial" panose="020B0604020202020204"/>
          </a:endParaRPr>
        </a:p>
      </cdr:txBody>
    </cdr:sp>
  </cdr:relSizeAnchor>
  <cdr:relSizeAnchor xmlns:cdr="http://schemas.openxmlformats.org/drawingml/2006/chartDrawing">
    <cdr:from>
      <cdr:x>0.90488</cdr:x>
      <cdr:y>0.20833</cdr:y>
    </cdr:from>
    <cdr:to>
      <cdr:x>0.91645</cdr:x>
      <cdr:y>0.2939</cdr:y>
    </cdr:to>
    <cdr:sp>
      <cdr:nvSpPr>
        <cdr:cNvPr id="3" name="直接连接符 2"/>
        <cdr:cNvSpPr>
          <a14:cpLocks xmlns:a14="http://schemas.microsoft.com/office/drawing/2010/main" noChangeShapeType="1"/>
        </cdr:cNvSpPr>
      </cdr:nvSpPr>
      <cdr:spPr xmlns:a="http://schemas.openxmlformats.org/drawingml/2006/main">
        <a:xfrm xmlns:a="http://schemas.openxmlformats.org/drawingml/2006/main" flipH="1">
          <a:off x="3724273" y="533401"/>
          <a:ext cx="47617" cy="219074"/>
        </a:xfrm>
        <a:prstGeom xmlns:a="http://schemas.openxmlformats.org/drawingml/2006/main" prst="line">
          <a:avLst/>
        </a:prstGeom>
        <a:noFill/>
        <a:ln w="6350">
          <a:solidFill>
            <a:schemeClr val="tx1">
              <a:lumMod val="65000"/>
              <a:lumOff val="35000"/>
            </a:schemeClr>
          </a:solidFill>
          <a:round/>
          <a:tailEnd type="none" w="sm" len="med"/>
        </a:ln>
      </cdr:spPr>
      <cdr:txBody xmlns:a="http://schemas.openxmlformats.org/drawingml/2006/main">
        <a:bodyPr/>
        <a:lstStyle/>
        <a:p>
          <a:endParaRPr lang="en-US" sz="800">
            <a:latin typeface="Arial" panose="020B0604020202020204" pitchFamily="7" charset="0"/>
          </a:endParaRPr>
        </a:p>
      </cdr:txBody>
    </cdr:sp>
  </cdr:relSizeAnchor>
  <cdr:relSizeAnchor xmlns:cdr="http://schemas.openxmlformats.org/drawingml/2006/chartDrawing">
    <cdr:from>
      <cdr:x>0.74846</cdr:x>
      <cdr:y>0.29696</cdr:y>
    </cdr:from>
    <cdr:to>
      <cdr:x>0.92369</cdr:x>
      <cdr:y>0.38054</cdr:y>
    </cdr:to>
    <cdr:sp>
      <cdr:nvSpPr>
        <cdr:cNvPr id="4" name="矩形 3"/>
        <cdr:cNvSpPr>
          <a14:cpLocks xmlns:a14="http://schemas.microsoft.com/office/drawing/2010/main" noChangeArrowheads="1"/>
        </cdr:cNvSpPr>
      </cdr:nvSpPr>
      <cdr:spPr xmlns:a="http://schemas.openxmlformats.org/drawingml/2006/main">
        <a:xfrm xmlns:a="http://schemas.openxmlformats.org/drawingml/2006/main">
          <a:off x="3080456" y="760312"/>
          <a:ext cx="721204" cy="213992"/>
        </a:xfrm>
        <a:prstGeom xmlns:a="http://schemas.openxmlformats.org/drawingml/2006/main" prst="rect">
          <a:avLst/>
        </a:prstGeom>
        <a:noFill/>
        <a:ln w="1">
          <a:noFill/>
          <a:miter lim="800000"/>
        </a:ln>
        <a:effectLst/>
      </cdr:spPr>
      <cdr:txBody xmlns:a="http://schemas.openxmlformats.org/drawingml/2006/main">
        <a:bodyPr vertOverflow="clip" wrap="square" lIns="0" tIns="22860" rIns="27432" bIns="22860" anchor="ctr" upright="1"/>
        <a:lstStyle/>
        <a:p>
          <a:pPr algn="r" rtl="0">
            <a:defRPr sz="1000"/>
          </a:pPr>
          <a:r>
            <a:rPr lang="en-US" sz="800" b="0" i="0" strike="noStrike">
              <a:solidFill>
                <a:sysClr val="windowText" lastClr="000000"/>
              </a:solidFill>
              <a:latin typeface="Arial" panose="020B0604020202020204" pitchFamily="7" charset="0"/>
              <a:cs typeface="Arial" panose="020B0604020202020204"/>
            </a:rPr>
            <a:t>January</a:t>
          </a:r>
          <a:endParaRPr lang="en-US" sz="800" b="0" i="0" strike="noStrike">
            <a:solidFill>
              <a:sysClr val="windowText" lastClr="000000"/>
            </a:solidFill>
            <a:latin typeface="Arial" panose="020B0604020202020204" pitchFamily="7" charset="0"/>
            <a:cs typeface="Arial" panose="020B0604020202020204"/>
          </a:endParaRPr>
        </a:p>
      </cdr:txBody>
    </cdr:sp>
  </cdr:relSizeAnchor>
  <cdr:relSizeAnchor xmlns:cdr="http://schemas.openxmlformats.org/drawingml/2006/chartDrawing">
    <cdr:from>
      <cdr:x>0</cdr:x>
      <cdr:y>0</cdr:y>
    </cdr:from>
    <cdr:to>
      <cdr:x>1</cdr:x>
      <cdr:y>0.09059</cdr:y>
    </cdr:to>
    <cdr:sp>
      <cdr:nvSpPr>
        <cdr:cNvPr id="5" name="矩形 4"/>
        <cdr:cNvSpPr/>
      </cdr:nvSpPr>
      <cdr:spPr xmlns:a="http://schemas.openxmlformats.org/drawingml/2006/main">
        <a:xfrm xmlns:a="http://schemas.openxmlformats.org/drawingml/2006/main">
          <a:off x="0" y="0"/>
          <a:ext cx="3232785" cy="215900"/>
        </a:xfrm>
        <a:prstGeom xmlns:a="http://schemas.openxmlformats.org/drawingml/2006/main" prst="rect">
          <a:avLst/>
        </a:prstGeom>
        <a:solidFill>
          <a:srgbClr val="7F8080"/>
        </a:solidFill>
        <a:ln w="9525" cmpd="sng">
          <a:noFill/>
          <a:prstDash val="solid"/>
        </a:ln>
      </cdr:spPr>
      <cdr:txBody xmlns:a="http://schemas.openxmlformats.org/drawingml/2006/main">
        <a:bodyPr vertOverflow="clip" vert="horz" lIns="76200" tIns="0" rIns="76200" bIns="0" rtlCol="0" anchor="ctr"/>
        <a:lstStyle/>
        <a:p>
          <a:pPr algn="l" rtl="0" eaLnBrk="1"/>
          <a:r>
            <a:rPr lang="en-US" sz="1000" b="1" i="0">
              <a:solidFill>
                <a:srgbClr val="FFFFFF"/>
              </a:solidFill>
              <a:effectLst/>
              <a:latin typeface="Arial" panose="020B0604020202020204" pitchFamily="7" charset="0"/>
              <a:ea typeface="+mn-ea"/>
              <a:cs typeface="+mn-cs"/>
            </a:rPr>
            <a:t>Recent historical data</a:t>
          </a:r>
          <a:endParaRPr lang="en-US" sz="1000" b="1">
            <a:solidFill>
              <a:srgbClr val="FFFFFF"/>
            </a:solidFill>
            <a:effectLst/>
            <a:latin typeface="Arial" panose="020B0604020202020204" pitchFamily="7" charset="0"/>
          </a:endParaRPr>
        </a:p>
      </cdr:txBody>
    </cdr:sp>
  </cdr:relSizeAnchor>
  <cdr:relSizeAnchor xmlns:cdr="http://schemas.openxmlformats.org/drawingml/2006/chartDrawing">
    <cdr:from>
      <cdr:x>0</cdr:x>
      <cdr:y>0.92539</cdr:y>
    </cdr:from>
    <cdr:to>
      <cdr:x>0.5382</cdr:x>
      <cdr:y>1</cdr:y>
    </cdr:to>
    <cdr:sp>
      <cdr:nvSpPr>
        <cdr:cNvPr id="6" name="矩形 5"/>
        <cdr:cNvSpPr/>
      </cdr:nvSpPr>
      <cdr:spPr xmlns:a="http://schemas.openxmlformats.org/drawingml/2006/main">
        <a:xfrm xmlns:a="http://schemas.openxmlformats.org/drawingml/2006/main">
          <a:off x="0" y="2374900"/>
          <a:ext cx="1739900" cy="177800"/>
        </a:xfrm>
        <a:prstGeom xmlns:a="http://schemas.openxmlformats.org/drawingml/2006/main" prst="rect">
          <a:avLst/>
        </a:prstGeom>
        <a:noFill/>
        <a:ln w="9525" cmpd="sng">
          <a:noFill/>
          <a:prstDash val="solid"/>
        </a:ln>
      </cdr:spPr>
      <cdr:txBody xmlns:a="http://schemas.openxmlformats.org/drawingml/2006/main">
        <a:bodyPr vertOverflow="clip" vert="horz" lIns="76200" tIns="0" rIns="76200" bIns="76200" rtlCol="0" anchor="b"/>
        <a:lstStyle/>
        <a:p>
          <a:pPr algn="l" eaLnBrk="1"/>
          <a:r>
            <a:rPr lang="en-US" sz="600" b="0" i="0" u="none" strike="noStrike" baseline="0">
              <a:solidFill>
                <a:srgbClr val="000000"/>
              </a:solidFill>
              <a:latin typeface="Arial" panose="020B0604020202020204" pitchFamily="7" charset="0"/>
            </a:rPr>
            <a:t>Source: IHS Markit</a:t>
          </a:r>
          <a:endParaRPr lang="en-US" sz="600" b="0" i="0" u="none" strike="noStrike" baseline="0">
            <a:solidFill>
              <a:srgbClr val="000000"/>
            </a:solidFill>
            <a:latin typeface="Arial" panose="020B0604020202020204" pitchFamily="7" charset="0"/>
          </a:endParaRPr>
        </a:p>
      </cdr:txBody>
    </cdr:sp>
  </cdr:relSizeAnchor>
  <cdr:relSizeAnchor xmlns:cdr="http://schemas.openxmlformats.org/drawingml/2006/chartDrawing">
    <cdr:from>
      <cdr:x>0.55608</cdr:x>
      <cdr:y>0.92539</cdr:y>
    </cdr:from>
    <cdr:to>
      <cdr:x>1</cdr:x>
      <cdr:y>1</cdr:y>
    </cdr:to>
    <cdr:sp>
      <cdr:nvSpPr>
        <cdr:cNvPr id="7" name="矩形 6"/>
        <cdr:cNvSpPr/>
      </cdr:nvSpPr>
      <cdr:spPr xmlns:a="http://schemas.openxmlformats.org/drawingml/2006/main">
        <a:xfrm xmlns:a="http://schemas.openxmlformats.org/drawingml/2006/main">
          <a:off x="1797685" y="2374900"/>
          <a:ext cx="1435100" cy="177800"/>
        </a:xfrm>
        <a:prstGeom xmlns:a="http://schemas.openxmlformats.org/drawingml/2006/main" prst="rect">
          <a:avLst/>
        </a:prstGeom>
        <a:noFill/>
        <a:ln w="9525" cmpd="sng">
          <a:noFill/>
          <a:prstDash val="solid"/>
        </a:ln>
      </cdr:spPr>
      <cdr:txBody xmlns:a="http://schemas.openxmlformats.org/drawingml/2006/main">
        <a:bodyPr vertOverflow="clip" vert="horz" lIns="76200" tIns="0" rIns="76200" bIns="76200" rtlCol="0" anchor="b"/>
        <a:lstStyle/>
        <a:p>
          <a:pPr algn="r" eaLnBrk="0"/>
          <a:r>
            <a:rPr lang="en-US" sz="600" b="0" i="0" u="none" strike="noStrike" baseline="0">
              <a:solidFill>
                <a:srgbClr val="000000"/>
              </a:solidFill>
              <a:latin typeface="Arial" panose="020B0604020202020204" pitchFamily="7" charset="0"/>
            </a:rPr>
            <a:t>© 2022 IHS Markit</a:t>
          </a:r>
          <a:endParaRPr lang="en-US" sz="600" b="0" i="0" u="none" strike="noStrike" baseline="0">
            <a:solidFill>
              <a:srgbClr val="000000"/>
            </a:solidFill>
            <a:latin typeface="Arial" panose="020B0604020202020204" pitchFamily="7" charset="0"/>
          </a:endParaRPr>
        </a:p>
      </cdr:txBody>
    </cdr:sp>
  </cdr:relSizeAnchor>
  <cdr:relSizeAnchor xmlns:cdr="http://schemas.openxmlformats.org/drawingml/2006/chartDrawing">
    <cdr:from>
      <cdr:x>0</cdr:x>
      <cdr:y>0.20144</cdr:y>
    </cdr:from>
    <cdr:to>
      <cdr:x>0.12178</cdr:x>
      <cdr:y>0.72102</cdr:y>
    </cdr:to>
    <cdr:sp>
      <cdr:nvSpPr>
        <cdr:cNvPr id="8" name="矩形 7"/>
        <cdr:cNvSpPr/>
      </cdr:nvSpPr>
      <cdr:spPr xmlns:a="http://schemas.openxmlformats.org/drawingml/2006/main">
        <a:xfrm xmlns:a="http://schemas.openxmlformats.org/drawingml/2006/main" rot="16200000">
          <a:off x="-422275" y="902335"/>
          <a:ext cx="1238250" cy="393700"/>
        </a:xfrm>
        <a:prstGeom xmlns:a="http://schemas.openxmlformats.org/drawingml/2006/main" prst="rect">
          <a:avLst/>
        </a:prstGeom>
        <a:noFill/>
        <a:ln w="9525" cmpd="sng">
          <a:noFill/>
          <a:prstDash val="solid"/>
        </a:ln>
      </cdr:spPr>
      <cdr:txBody xmlns:a="http://schemas.openxmlformats.org/drawingml/2006/main">
        <a:bodyPr vertOverflow="clip" vert="horz" lIns="76200" tIns="76200" rIns="76200" bIns="76200" rtlCol="0" anchor="t"/>
        <a:lstStyle/>
        <a:p>
          <a:pPr algn="ctr" eaLnBrk="1"/>
          <a:r>
            <a:rPr lang="en-US" sz="800" b="1" i="0" u="none" strike="noStrike" baseline="0">
              <a:solidFill>
                <a:srgbClr val="000000"/>
              </a:solidFill>
              <a:latin typeface="Arial" panose="020B0604020202020204" pitchFamily="7" charset="0"/>
            </a:rPr>
            <a:t>Billions of chain-type (2012) dollars, SAAR</a:t>
          </a:r>
          <a:endParaRPr lang="en-US" sz="800" b="1" i="0" u="none" strike="noStrike" baseline="0">
            <a:solidFill>
              <a:srgbClr val="000000"/>
            </a:solidFill>
            <a:latin typeface="Arial" panose="020B0604020202020204" pitchFamily="7"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0.158</cdr:x>
      <cdr:y>0.02608</cdr:y>
    </cdr:from>
    <cdr:to>
      <cdr:x>0.92181</cdr:x>
      <cdr:y>0.09883</cdr:y>
    </cdr:to>
    <cdr:sp>
      <cdr:nvSpPr>
        <cdr:cNvPr id="2" name="矩形 1"/>
        <cdr:cNvSpPr>
          <a14:cpLocks xmlns:a14="http://schemas.microsoft.com/office/drawing/2010/main" noChangeArrowheads="1"/>
        </cdr:cNvSpPr>
      </cdr:nvSpPr>
      <cdr:spPr xmlns:a="http://schemas.openxmlformats.org/drawingml/2006/main">
        <a:xfrm xmlns:a="http://schemas.openxmlformats.org/drawingml/2006/main">
          <a:off x="519484" y="63611"/>
          <a:ext cx="2511287" cy="177442"/>
        </a:xfrm>
        <a:prstGeom xmlns:a="http://schemas.openxmlformats.org/drawingml/2006/main" prst="rect">
          <a:avLst/>
        </a:prstGeom>
        <a:noFill/>
        <a:ln w="1">
          <a:noFill/>
          <a:miter lim="800000"/>
        </a:ln>
      </cdr:spPr>
      <cdr:txBody xmlns:a="http://schemas.openxmlformats.org/drawingml/2006/main">
        <a:bodyPr vertOverflow="clip" wrap="square" lIns="27432" tIns="22860" rIns="27432" bIns="22860" anchor="ctr" upright="1"/>
        <a:lstStyle/>
        <a:p>
          <a:pPr algn="ctr" rtl="0">
            <a:defRPr sz="1000"/>
          </a:pPr>
          <a:endParaRPr lang="en-US" sz="800" b="0" i="0" strike="noStrike">
            <a:solidFill>
              <a:srgbClr val="000000"/>
            </a:solidFill>
            <a:latin typeface="Arial" panose="020B0604020202020204" pitchFamily="7" charset="0"/>
            <a:cs typeface="Arial" panose="020B0604020202020204"/>
          </a:endParaRPr>
        </a:p>
      </cdr:txBody>
    </cdr:sp>
  </cdr:relSizeAnchor>
  <cdr:relSizeAnchor xmlns:cdr="http://schemas.openxmlformats.org/drawingml/2006/chartDrawing">
    <cdr:from>
      <cdr:x>0.9138</cdr:x>
      <cdr:y>0.23153</cdr:y>
    </cdr:from>
    <cdr:to>
      <cdr:x>0.93604</cdr:x>
      <cdr:y>0.33563</cdr:y>
    </cdr:to>
    <cdr:sp>
      <cdr:nvSpPr>
        <cdr:cNvPr id="3" name="直接连接符 2"/>
        <cdr:cNvSpPr>
          <a14:cpLocks xmlns:a14="http://schemas.microsoft.com/office/drawing/2010/main" noChangeShapeType="1"/>
        </cdr:cNvSpPr>
      </cdr:nvSpPr>
      <cdr:spPr xmlns:a="http://schemas.openxmlformats.org/drawingml/2006/main">
        <a:xfrm xmlns:a="http://schemas.openxmlformats.org/drawingml/2006/main" flipH="1">
          <a:off x="3622485" y="597403"/>
          <a:ext cx="88165" cy="268603"/>
        </a:xfrm>
        <a:prstGeom xmlns:a="http://schemas.openxmlformats.org/drawingml/2006/main" prst="line">
          <a:avLst/>
        </a:prstGeom>
        <a:noFill/>
        <a:ln w="6350">
          <a:solidFill>
            <a:schemeClr val="tx1">
              <a:lumMod val="65000"/>
              <a:lumOff val="35000"/>
            </a:schemeClr>
          </a:solidFill>
          <a:round/>
          <a:tailEnd type="none" w="sm" len="med"/>
        </a:ln>
      </cdr:spPr>
      <cdr:txBody xmlns:a="http://schemas.openxmlformats.org/drawingml/2006/main">
        <a:bodyPr/>
        <a:lstStyle/>
        <a:p>
          <a:endParaRPr lang="en-US" sz="800">
            <a:latin typeface="Arial" panose="020B0604020202020204" pitchFamily="7" charset="0"/>
          </a:endParaRPr>
        </a:p>
      </cdr:txBody>
    </cdr:sp>
  </cdr:relSizeAnchor>
  <cdr:relSizeAnchor xmlns:cdr="http://schemas.openxmlformats.org/drawingml/2006/chartDrawing">
    <cdr:from>
      <cdr:x>0.75428</cdr:x>
      <cdr:y>0.34544</cdr:y>
    </cdr:from>
    <cdr:to>
      <cdr:x>0.92951</cdr:x>
      <cdr:y>0.42902</cdr:y>
    </cdr:to>
    <cdr:sp>
      <cdr:nvSpPr>
        <cdr:cNvPr id="4" name="矩形 3"/>
        <cdr:cNvSpPr>
          <a14:cpLocks xmlns:a14="http://schemas.microsoft.com/office/drawing/2010/main" noChangeArrowheads="1"/>
        </cdr:cNvSpPr>
      </cdr:nvSpPr>
      <cdr:spPr xmlns:a="http://schemas.openxmlformats.org/drawingml/2006/main">
        <a:xfrm xmlns:a="http://schemas.openxmlformats.org/drawingml/2006/main">
          <a:off x="2990120" y="891312"/>
          <a:ext cx="694650" cy="215656"/>
        </a:xfrm>
        <a:prstGeom xmlns:a="http://schemas.openxmlformats.org/drawingml/2006/main" prst="rect">
          <a:avLst/>
        </a:prstGeom>
        <a:noFill/>
        <a:ln w="1">
          <a:noFill/>
          <a:miter lim="800000"/>
        </a:ln>
        <a:effectLst/>
      </cdr:spPr>
      <cdr:txBody xmlns:a="http://schemas.openxmlformats.org/drawingml/2006/main">
        <a:bodyPr vertOverflow="clip" wrap="square" lIns="0" tIns="22860" rIns="27432" bIns="22860" anchor="ctr" upright="1"/>
        <a:lstStyle/>
        <a:p>
          <a:pPr algn="r" rtl="0">
            <a:defRPr sz="1000"/>
          </a:pPr>
          <a:r>
            <a:rPr lang="en-US" sz="800" b="0" i="0" strike="noStrike">
              <a:solidFill>
                <a:sysClr val="windowText" lastClr="000000"/>
              </a:solidFill>
              <a:latin typeface="Arial" panose="020B0604020202020204" pitchFamily="7" charset="0"/>
              <a:cs typeface="Arial" panose="020B0604020202020204"/>
            </a:rPr>
            <a:t>July</a:t>
          </a:r>
          <a:endParaRPr lang="en-US" sz="800" b="0" i="0" strike="noStrike">
            <a:solidFill>
              <a:sysClr val="windowText" lastClr="000000"/>
            </a:solidFill>
            <a:latin typeface="Arial" panose="020B0604020202020204" pitchFamily="7" charset="0"/>
            <a:cs typeface="Arial" panose="020B0604020202020204"/>
          </a:endParaRPr>
        </a:p>
      </cdr:txBody>
    </cdr:sp>
  </cdr:relSizeAnchor>
  <cdr:relSizeAnchor xmlns:cdr="http://schemas.openxmlformats.org/drawingml/2006/chartDrawing">
    <cdr:from>
      <cdr:x>0</cdr:x>
      <cdr:y>0</cdr:y>
    </cdr:from>
    <cdr:to>
      <cdr:x>1</cdr:x>
      <cdr:y>0.05743</cdr:y>
    </cdr:to>
    <cdr:sp>
      <cdr:nvSpPr>
        <cdr:cNvPr id="5" name="矩形 4"/>
        <cdr:cNvSpPr/>
      </cdr:nvSpPr>
      <cdr:spPr xmlns:a="http://schemas.openxmlformats.org/drawingml/2006/main">
        <a:xfrm xmlns:a="http://schemas.openxmlformats.org/drawingml/2006/main">
          <a:off x="0" y="0"/>
          <a:ext cx="3845877" cy="146304"/>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t"/>
        <a:lstStyle/>
        <a:p>
          <a:pPr algn="l" rtl="0" eaLnBrk="1"/>
          <a:r>
            <a:rPr lang="en-US" sz="1000" b="1" i="0">
              <a:solidFill>
                <a:srgbClr val="010000"/>
              </a:solidFill>
              <a:effectLst/>
              <a:latin typeface="Arial" panose="020B0604020202020204" pitchFamily="7" charset="0"/>
              <a:ea typeface="+mn-ea"/>
              <a:cs typeface="+mn-cs"/>
            </a:rPr>
            <a:t>Recent historical data</a:t>
          </a:r>
          <a:endParaRPr lang="en-US" sz="1000" b="1">
            <a:solidFill>
              <a:srgbClr val="010000"/>
            </a:solidFill>
            <a:effectLst/>
            <a:latin typeface="Arial" panose="020B0604020202020204" pitchFamily="7" charset="0"/>
          </a:endParaRPr>
        </a:p>
      </cdr:txBody>
    </cdr:sp>
  </cdr:relSizeAnchor>
  <cdr:relSizeAnchor xmlns:cdr="http://schemas.openxmlformats.org/drawingml/2006/chartDrawing">
    <cdr:from>
      <cdr:x>0</cdr:x>
      <cdr:y>0.8995</cdr:y>
    </cdr:from>
    <cdr:to>
      <cdr:x>1</cdr:x>
      <cdr:y>0.94975</cdr:y>
    </cdr:to>
    <cdr:sp>
      <cdr:nvSpPr>
        <cdr:cNvPr id="6" name="矩形 5"/>
        <cdr:cNvSpPr/>
      </cdr:nvSpPr>
      <cdr:spPr xmlns:a="http://schemas.openxmlformats.org/drawingml/2006/main">
        <a:xfrm xmlns:a="http://schemas.openxmlformats.org/drawingml/2006/main">
          <a:off x="0" y="2291588"/>
          <a:ext cx="3845877" cy="128016"/>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b"/>
        <a:lstStyle/>
        <a:p>
          <a:pPr algn="l" eaLnBrk="1"/>
          <a:r>
            <a:rPr lang="en-US" sz="700" b="0" i="0" u="none" strike="noStrike" baseline="0">
              <a:solidFill>
                <a:srgbClr val="010000"/>
              </a:solidFill>
              <a:latin typeface="Arial" panose="020B0604020202020204" pitchFamily="7" charset="0"/>
            </a:rPr>
            <a:t>Source: S&amp;P Global Market Intelligence.</a:t>
          </a:r>
          <a:endParaRPr lang="en-US" sz="700" b="0" i="0" u="none" strike="noStrike" baseline="0">
            <a:solidFill>
              <a:srgbClr val="010000"/>
            </a:solidFill>
            <a:latin typeface="Arial" panose="020B0604020202020204" pitchFamily="7" charset="0"/>
          </a:endParaRPr>
        </a:p>
      </cdr:txBody>
    </cdr:sp>
  </cdr:relSizeAnchor>
  <cdr:relSizeAnchor xmlns:cdr="http://schemas.openxmlformats.org/drawingml/2006/chartDrawing">
    <cdr:from>
      <cdr:x>0</cdr:x>
      <cdr:y>0.94975</cdr:y>
    </cdr:from>
    <cdr:to>
      <cdr:x>1</cdr:x>
      <cdr:y>1</cdr:y>
    </cdr:to>
    <cdr:sp>
      <cdr:nvSpPr>
        <cdr:cNvPr id="7" name="矩形 6"/>
        <cdr:cNvSpPr/>
      </cdr:nvSpPr>
      <cdr:spPr xmlns:a="http://schemas.openxmlformats.org/drawingml/2006/main">
        <a:xfrm xmlns:a="http://schemas.openxmlformats.org/drawingml/2006/main">
          <a:off x="0" y="2470404"/>
          <a:ext cx="3845877" cy="128016"/>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b"/>
        <a:lstStyle/>
        <a:p>
          <a:pPr algn="l" eaLnBrk="1"/>
          <a:r>
            <a:rPr lang="en-US" sz="700" b="0" i="0" u="none" strike="noStrike" baseline="0">
              <a:solidFill>
                <a:srgbClr val="010000"/>
              </a:solidFill>
              <a:latin typeface="Arial" panose="020B0604020202020204" pitchFamily="7" charset="0"/>
            </a:rPr>
            <a:t>© 2025 S&amp;P Global.</a:t>
          </a:r>
          <a:endParaRPr lang="en-US" sz="700" b="0" i="0" u="none" strike="noStrike" baseline="0">
            <a:solidFill>
              <a:srgbClr val="010000"/>
            </a:solidFill>
            <a:latin typeface="Arial" panose="020B0604020202020204" pitchFamily="7" charset="0"/>
          </a:endParaRPr>
        </a:p>
      </cdr:txBody>
    </cdr:sp>
  </cdr:relSizeAnchor>
  <cdr:relSizeAnchor xmlns:cdr="http://schemas.openxmlformats.org/drawingml/2006/chartDrawing">
    <cdr:from>
      <cdr:x>0</cdr:x>
      <cdr:y>0.799</cdr:y>
    </cdr:from>
    <cdr:to>
      <cdr:x>1</cdr:x>
      <cdr:y>0.84925</cdr:y>
    </cdr:to>
    <cdr:sp>
      <cdr:nvSpPr>
        <cdr:cNvPr id="8" name="矩形 7"/>
        <cdr:cNvSpPr/>
      </cdr:nvSpPr>
      <cdr:spPr xmlns:a="http://schemas.openxmlformats.org/drawingml/2006/main">
        <a:xfrm xmlns:a="http://schemas.openxmlformats.org/drawingml/2006/main">
          <a:off x="0" y="2035556"/>
          <a:ext cx="3845877" cy="128016"/>
        </a:xfrm>
        <a:prstGeom xmlns:a="http://schemas.openxmlformats.org/drawingml/2006/main" prst="rect">
          <a:avLst/>
        </a:prstGeom>
      </cdr:spPr>
      <cdr:txBody xmlns:a="http://schemas.openxmlformats.org/drawingml/2006/main">
        <a:bodyPr vertOverflow="clip" vert="horz" lIns="0" tIns="0" rIns="0" bIns="0" rtlCol="0" anchor="b"/>
        <a:lstStyle/>
        <a:p>
          <a:pPr algn="l" eaLnBrk="1"/>
          <a:r>
            <a:rPr lang="en-US" sz="700" b="0">
              <a:solidFill>
                <a:srgbClr val="010000"/>
              </a:solidFill>
              <a:latin typeface="Arial" panose="020B0604020202020204" pitchFamily="7" charset="0"/>
            </a:rPr>
            <a:t>Data compiled</a:t>
          </a:r>
          <a:r>
            <a:rPr lang="en-US" sz="700" b="0" baseline="0">
              <a:solidFill>
                <a:srgbClr val="010000"/>
              </a:solidFill>
              <a:latin typeface="Arial" panose="020B0604020202020204" pitchFamily="7" charset="0"/>
            </a:rPr>
            <a:t> Sep. 2,</a:t>
          </a:r>
          <a:r>
            <a:rPr lang="en-US" sz="700" b="0">
              <a:solidFill>
                <a:srgbClr val="010000"/>
              </a:solidFill>
              <a:latin typeface="Arial" panose="020B0604020202020204" pitchFamily="7" charset="0"/>
            </a:rPr>
            <a:t> 2025.</a:t>
          </a:r>
          <a:endParaRPr lang="en-US" sz="700" b="0">
            <a:solidFill>
              <a:srgbClr val="010000"/>
            </a:solidFill>
            <a:latin typeface="Arial" panose="020B0604020202020204" pitchFamily="7" charset="0"/>
          </a:endParaRPr>
        </a:p>
      </cdr:txBody>
    </cdr:sp>
  </cdr:relSizeAnchor>
  <cdr:relSizeAnchor xmlns:cdr="http://schemas.openxmlformats.org/drawingml/2006/chartDrawing">
    <cdr:from>
      <cdr:x>0</cdr:x>
      <cdr:y>0.0674</cdr:y>
    </cdr:from>
    <cdr:to>
      <cdr:x>1</cdr:x>
      <cdr:y>0.12483</cdr:y>
    </cdr:to>
    <cdr:sp>
      <cdr:nvSpPr>
        <cdr:cNvPr id="9" name="矩形 8"/>
        <cdr:cNvSpPr/>
      </cdr:nvSpPr>
      <cdr:spPr xmlns:a="http://schemas.openxmlformats.org/drawingml/2006/main">
        <a:xfrm xmlns:a="http://schemas.openxmlformats.org/drawingml/2006/main">
          <a:off x="0" y="171704"/>
          <a:ext cx="3845877" cy="146304"/>
        </a:xfrm>
        <a:prstGeom xmlns:a="http://schemas.openxmlformats.org/drawingml/2006/main" prst="rect">
          <a:avLst/>
        </a:prstGeom>
      </cdr:spPr>
      <cdr:txBody xmlns:a="http://schemas.openxmlformats.org/drawingml/2006/main">
        <a:bodyPr vertOverflow="clip" vert="horz" lIns="0" tIns="0" rIns="0" bIns="0" rtlCol="0" anchor="t"/>
        <a:lstStyle/>
        <a:p>
          <a:pPr algn="l" eaLnBrk="1"/>
          <a:r>
            <a:rPr lang="en-US" sz="850" b="0">
              <a:solidFill>
                <a:srgbClr val="010000"/>
              </a:solidFill>
              <a:latin typeface="Arial" panose="020B0604020202020204" pitchFamily="7" charset="0"/>
            </a:rPr>
            <a:t>Billions of chain-type (2017) dollars, SAAR</a:t>
          </a:r>
          <a:endParaRPr lang="en-US" sz="850" b="0">
            <a:solidFill>
              <a:srgbClr val="010000"/>
            </a:solidFill>
            <a:latin typeface="Arial" panose="020B0604020202020204" pitchFamily="7" charset="0"/>
          </a:endParaRPr>
        </a:p>
      </cdr:txBody>
    </cdr:sp>
  </cdr:relSizeAnchor>
  <cdr:relSizeAnchor xmlns:cdr="http://schemas.openxmlformats.org/drawingml/2006/chartDrawing">
    <cdr:from>
      <cdr:x>0.01269</cdr:x>
      <cdr:y>0.02027</cdr:y>
    </cdr:from>
    <cdr:to>
      <cdr:x>0.99366</cdr:x>
      <cdr:y>0.07864</cdr:y>
    </cdr:to>
    <cdr:sp>
      <cdr:nvSpPr>
        <cdr:cNvPr id="10" name="矩形 9"/>
        <cdr:cNvSpPr/>
      </cdr:nvSpPr>
      <cdr:spPr xmlns:a="http://schemas.openxmlformats.org/drawingml/2006/main">
        <a:xfrm xmlns:a="http://schemas.openxmlformats.org/drawingml/2006/main">
          <a:off x="50800" y="50800"/>
          <a:ext cx="3928427" cy="146304"/>
        </a:xfrm>
        <a:prstGeom xmlns:a="http://schemas.openxmlformats.org/drawingml/2006/main" prst="rect">
          <a:avLst/>
        </a:prstGeom>
      </cdr:spPr>
      <cdr:txBody xmlns:a="http://schemas.openxmlformats.org/drawingml/2006/main">
        <a:bodyPr vertOverflow="clip" vert="horz" rtlCol="0"/>
        <a:lstStyle/>
        <a:p>
          <a:endParaRPr lang="en-US" sz="1100"/>
        </a:p>
      </cdr:txBody>
    </cdr:sp>
  </cdr:relSizeAnchor>
  <cdr:relSizeAnchor xmlns:cdr="http://schemas.openxmlformats.org/drawingml/2006/chartDrawing">
    <cdr:from>
      <cdr:x>0</cdr:x>
      <cdr:y>0.84925</cdr:y>
    </cdr:from>
    <cdr:to>
      <cdr:x>1</cdr:x>
      <cdr:y>0.8995</cdr:y>
    </cdr:to>
    <cdr:sp>
      <cdr:nvSpPr>
        <cdr:cNvPr id="11" name="矩形 10"/>
        <cdr:cNvSpPr/>
      </cdr:nvSpPr>
      <cdr:spPr xmlns:a="http://schemas.openxmlformats.org/drawingml/2006/main">
        <a:xfrm xmlns:a="http://schemas.openxmlformats.org/drawingml/2006/main">
          <a:off x="0" y="2163572"/>
          <a:ext cx="3845877" cy="128016"/>
        </a:xfrm>
        <a:prstGeom xmlns:a="http://schemas.openxmlformats.org/drawingml/2006/main" prst="rect">
          <a:avLst/>
        </a:prstGeom>
      </cdr:spPr>
      <cdr:txBody xmlns:a="http://schemas.openxmlformats.org/drawingml/2006/main">
        <a:bodyPr vertOverflow="clip" vert="horz" lIns="0" tIns="0" rIns="0" bIns="0" rtlCol="0" anchor="b"/>
        <a:lstStyle/>
        <a:p>
          <a:pPr algn="l" eaLnBrk="1"/>
          <a:r>
            <a:rPr lang="en-US" sz="700" b="0">
              <a:solidFill>
                <a:srgbClr val="010000"/>
              </a:solidFill>
              <a:latin typeface="Arial" panose="020B0604020202020204" pitchFamily="7" charset="0"/>
            </a:rPr>
            <a:t>SAAR = seasonally adjusted annual rate. </a:t>
          </a:r>
          <a:endParaRPr lang="en-US" sz="700" b="0">
            <a:solidFill>
              <a:srgbClr val="010000"/>
            </a:solidFill>
            <a:latin typeface="Arial" panose="020B0604020202020204" pitchFamily="7"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0.25843</cdr:x>
      <cdr:y>0.04146</cdr:y>
    </cdr:from>
    <cdr:to>
      <cdr:x>0.85307</cdr:x>
      <cdr:y>0.17976</cdr:y>
    </cdr:to>
    <cdr:sp>
      <cdr:nvSpPr>
        <cdr:cNvPr id="2" name="矩形 1"/>
        <cdr:cNvSpPr/>
      </cdr:nvSpPr>
      <cdr:spPr xmlns:a="http://schemas.openxmlformats.org/drawingml/2006/main">
        <a:xfrm xmlns:a="http://schemas.openxmlformats.org/drawingml/2006/main">
          <a:off x="733530" y="62824"/>
          <a:ext cx="1687861" cy="209591"/>
        </a:xfrm>
        <a:prstGeom xmlns:a="http://schemas.openxmlformats.org/drawingml/2006/main" prst="rect">
          <a:avLst/>
        </a:prstGeom>
        <a:noFill/>
        <a:ln w="9525" cmpd="sng">
          <a:noFill/>
          <a:prstDash val="solid"/>
        </a:ln>
      </cdr:spPr>
      <cdr:txBody xmlns:a="http://schemas.openxmlformats.org/drawingml/2006/main">
        <a:bodyPr vertOverflow="clip" vert="horz" rtlCol="0"/>
        <a:lstStyle/>
        <a:p>
          <a:r>
            <a:rPr lang="en-US" sz="700" b="1" i="0" u="none" strike="noStrike" baseline="0">
              <a:solidFill>
                <a:srgbClr val="000000"/>
              </a:solidFill>
              <a:latin typeface="Arial" panose="020B0604020202020204" pitchFamily="7" charset="0"/>
            </a:rPr>
            <a:t>Domestic final sales</a:t>
          </a:r>
          <a:endParaRPr lang="en-US" sz="700" b="1" i="0" u="none" strike="noStrike" baseline="0">
            <a:solidFill>
              <a:srgbClr val="000000"/>
            </a:solidFill>
            <a:latin typeface="Arial" panose="020B0604020202020204" pitchFamily="7" charset="0"/>
          </a:endParaRPr>
        </a:p>
      </cdr:txBody>
    </cdr:sp>
  </cdr:relSizeAnchor>
  <cdr:relSizeAnchor xmlns:cdr="http://schemas.openxmlformats.org/drawingml/2006/chartDrawing">
    <cdr:from>
      <cdr:x>0</cdr:x>
      <cdr:y>0</cdr:y>
    </cdr:from>
    <cdr:to>
      <cdr:x>1</cdr:x>
      <cdr:y>0.08693</cdr:y>
    </cdr:to>
    <cdr:sp>
      <cdr:nvSpPr>
        <cdr:cNvPr id="3" name="矩形 2"/>
        <cdr:cNvSpPr/>
      </cdr:nvSpPr>
      <cdr:spPr xmlns:a="http://schemas.openxmlformats.org/drawingml/2006/main">
        <a:xfrm xmlns:a="http://schemas.openxmlformats.org/drawingml/2006/main">
          <a:off x="0" y="0"/>
          <a:ext cx="2828924" cy="128016"/>
        </a:xfrm>
        <a:prstGeom xmlns:a="http://schemas.openxmlformats.org/drawingml/2006/main" prst="rect">
          <a:avLst/>
        </a:prstGeom>
      </cdr:spPr>
      <cdr:txBody xmlns:a="http://schemas.openxmlformats.org/drawingml/2006/main">
        <a:bodyPr vertOverflow="clip" vert="horz" lIns="0" tIns="0" rIns="0" bIns="0" rtlCol="0" anchor="t"/>
        <a:lstStyle/>
        <a:p>
          <a:pPr algn="l" eaLnBrk="1"/>
          <a:r>
            <a:rPr lang="en-US" sz="900" b="1">
              <a:solidFill>
                <a:srgbClr val="010000"/>
              </a:solidFill>
              <a:latin typeface="Arial" panose="020B0604020202020204" pitchFamily="7" charset="0"/>
            </a:rPr>
            <a:t>Add title here in sentence case</a:t>
          </a:r>
          <a:endParaRPr lang="en-US" sz="900" b="1">
            <a:solidFill>
              <a:srgbClr val="010000"/>
            </a:solidFill>
            <a:latin typeface="Arial" panose="020B0604020202020204" pitchFamily="7"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0.33194</cdr:x>
      <cdr:y>0.02358</cdr:y>
    </cdr:from>
    <cdr:to>
      <cdr:x>0.67692</cdr:x>
      <cdr:y>0.16568</cdr:y>
    </cdr:to>
    <cdr:sp>
      <cdr:nvSpPr>
        <cdr:cNvPr id="2" name="矩形 1"/>
        <cdr:cNvSpPr/>
      </cdr:nvSpPr>
      <cdr:spPr xmlns:a="http://schemas.openxmlformats.org/drawingml/2006/main">
        <a:xfrm xmlns:a="http://schemas.openxmlformats.org/drawingml/2006/main">
          <a:off x="940081" y="35719"/>
          <a:ext cx="977024" cy="215300"/>
        </a:xfrm>
        <a:prstGeom xmlns:a="http://schemas.openxmlformats.org/drawingml/2006/main" prst="rect">
          <a:avLst/>
        </a:prstGeom>
        <a:noFill/>
        <a:ln w="9525" cmpd="sng">
          <a:noFill/>
          <a:prstDash val="solid"/>
        </a:ln>
      </cdr:spPr>
      <cdr:txBody xmlns:a="http://schemas.openxmlformats.org/drawingml/2006/main">
        <a:bodyPr vertOverflow="clip" vert="horz" rtlCol="0"/>
        <a:lstStyle/>
        <a:p>
          <a:r>
            <a:rPr lang="en-US" sz="700" b="1" i="0" u="none" strike="noStrike" baseline="0">
              <a:solidFill>
                <a:srgbClr val="000000"/>
              </a:solidFill>
              <a:latin typeface="Arial" panose="020B0604020202020204" pitchFamily="7" charset="0"/>
            </a:rPr>
            <a:t>Net exports</a:t>
          </a:r>
          <a:endParaRPr lang="en-US" sz="700" b="1" i="0" u="none" strike="noStrike" baseline="0">
            <a:solidFill>
              <a:srgbClr val="000000"/>
            </a:solidFill>
            <a:latin typeface="Arial" panose="020B0604020202020204" pitchFamily="7" charset="0"/>
          </a:endParaRPr>
        </a:p>
      </cdr:txBody>
    </cdr:sp>
  </cdr:relSizeAnchor>
  <cdr:relSizeAnchor xmlns:cdr="http://schemas.openxmlformats.org/drawingml/2006/chartDrawing">
    <cdr:from>
      <cdr:x>0</cdr:x>
      <cdr:y>0</cdr:y>
    </cdr:from>
    <cdr:to>
      <cdr:x>1</cdr:x>
      <cdr:y>0.08696</cdr:y>
    </cdr:to>
    <cdr:sp>
      <cdr:nvSpPr>
        <cdr:cNvPr id="3" name="矩形 2"/>
        <cdr:cNvSpPr/>
      </cdr:nvSpPr>
      <cdr:spPr xmlns:a="http://schemas.openxmlformats.org/drawingml/2006/main">
        <a:xfrm xmlns:a="http://schemas.openxmlformats.org/drawingml/2006/main">
          <a:off x="0" y="0"/>
          <a:ext cx="2822574" cy="128016"/>
        </a:xfrm>
        <a:prstGeom xmlns:a="http://schemas.openxmlformats.org/drawingml/2006/main" prst="rect">
          <a:avLst/>
        </a:prstGeom>
      </cdr:spPr>
      <cdr:txBody xmlns:a="http://schemas.openxmlformats.org/drawingml/2006/main">
        <a:bodyPr vertOverflow="clip" vert="horz" lIns="0" tIns="0" rIns="0" bIns="0" rtlCol="0" anchor="t"/>
        <a:lstStyle/>
        <a:p>
          <a:pPr algn="l" eaLnBrk="1"/>
          <a:r>
            <a:rPr lang="en-US" sz="900" b="1">
              <a:solidFill>
                <a:srgbClr val="010000"/>
              </a:solidFill>
              <a:latin typeface="Arial" panose="020B0604020202020204" pitchFamily="7" charset="0"/>
            </a:rPr>
            <a:t>Add title here in sentence case</a:t>
          </a:r>
          <a:endParaRPr lang="en-US" sz="900" b="1">
            <a:solidFill>
              <a:srgbClr val="010000"/>
            </a:solidFill>
            <a:latin typeface="Arial" panose="020B0604020202020204" pitchFamily="7"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0.14269</cdr:x>
      <cdr:y>0.0244</cdr:y>
    </cdr:from>
    <cdr:to>
      <cdr:x>0.8944</cdr:x>
      <cdr:y>0.10085</cdr:y>
    </cdr:to>
    <cdr:sp>
      <cdr:nvSpPr>
        <cdr:cNvPr id="2" name="矩形 1"/>
        <cdr:cNvSpPr>
          <a14:cpLocks xmlns:a14="http://schemas.microsoft.com/office/drawing/2010/main" noChangeArrowheads="1"/>
        </cdr:cNvSpPr>
      </cdr:nvSpPr>
      <cdr:spPr xmlns:a="http://schemas.openxmlformats.org/drawingml/2006/main">
        <a:xfrm xmlns:a="http://schemas.openxmlformats.org/drawingml/2006/main">
          <a:off x="567939" y="59607"/>
          <a:ext cx="2992023" cy="186761"/>
        </a:xfrm>
        <a:prstGeom xmlns:a="http://schemas.openxmlformats.org/drawingml/2006/main" prst="rect">
          <a:avLst/>
        </a:prstGeom>
        <a:noFill/>
        <a:ln w="1">
          <a:noFill/>
          <a:miter lim="800000"/>
        </a:ln>
      </cdr:spPr>
      <cdr:txBody xmlns:a="http://schemas.openxmlformats.org/drawingml/2006/main">
        <a:bodyPr vertOverflow="clip" wrap="square" lIns="27432" tIns="22860" rIns="27432" bIns="22860" anchor="ctr" upright="1"/>
        <a:lstStyle/>
        <a:p>
          <a:pPr algn="ctr" rtl="0">
            <a:defRPr sz="1000"/>
          </a:pPr>
          <a:endParaRPr lang="en-US" sz="800" b="0" i="0" strike="noStrike">
            <a:solidFill>
              <a:srgbClr val="000000"/>
            </a:solidFill>
            <a:latin typeface="Arial" panose="020B0604020202020204" pitchFamily="7" charset="0"/>
            <a:cs typeface="Arial" panose="020B0604020202020204"/>
          </a:endParaRPr>
        </a:p>
      </cdr:txBody>
    </cdr:sp>
  </cdr:relSizeAnchor>
  <cdr:relSizeAnchor xmlns:cdr="http://schemas.openxmlformats.org/drawingml/2006/chartDrawing">
    <cdr:from>
      <cdr:x>0.83104</cdr:x>
      <cdr:y>0.09249</cdr:y>
    </cdr:from>
    <cdr:to>
      <cdr:x>0.90819</cdr:x>
      <cdr:y>0.695</cdr:y>
    </cdr:to>
    <cdr:grpSp>
      <cdr:nvGrpSpPr>
        <cdr:cNvPr id="3" name="组合 2"/>
        <cdr:cNvGrpSpPr/>
      </cdr:nvGrpSpPr>
      <cdr:grpSpPr xmlns:a="http://schemas.openxmlformats.org/drawingml/2006/main">
        <a:xfrm>
          <a:off x="3566357" y="227120"/>
          <a:ext cx="331085" cy="1479531"/>
          <a:chOff x="3497049" y="235701"/>
          <a:chExt cx="296800" cy="1359414"/>
        </a:xfrm>
      </cdr:grpSpPr>
      <cdr:cxnSp>
        <cdr:nvCxnSpPr>
          <cdr:cNvPr id="4" name="直接连接符 3"/>
          <cdr:cNvCxnSpPr/>
        </cdr:nvCxnSpPr>
        <cdr:spPr xmlns:a="http://schemas.openxmlformats.org/drawingml/2006/main">
          <a:xfrm xmlns:a="http://schemas.openxmlformats.org/drawingml/2006/main">
            <a:off x="3665846" y="272175"/>
            <a:ext cx="0" cy="1322940"/>
          </a:xfrm>
          <a:prstGeom xmlns:a="http://schemas.openxmlformats.org/drawingml/2006/main" prst="line">
            <a:avLst/>
          </a:prstGeom>
          <a:ln w="6350">
            <a:solidFill>
              <a:srgbClr val="A6A6A6"/>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cdr:nvSpPr>
          <cdr:cNvPr id="5" name="矩形 4"/>
          <cdr:cNvSpPr>
            <a14:cpLocks xmlns:a14="http://schemas.microsoft.com/office/drawing/2010/main" noChangeArrowheads="1"/>
          </cdr:cNvSpPr>
        </cdr:nvSpPr>
        <cdr:spPr xmlns:a="http://schemas.openxmlformats.org/drawingml/2006/main">
          <a:xfrm xmlns:a="http://schemas.openxmlformats.org/drawingml/2006/main">
            <a:off x="3497049" y="235701"/>
            <a:ext cx="296800" cy="203146"/>
          </a:xfrm>
          <a:prstGeom xmlns:a="http://schemas.openxmlformats.org/drawingml/2006/main" prst="rect">
            <a:avLst/>
          </a:prstGeom>
          <a:noFill/>
          <a:ln w="6350">
            <a:noFill/>
            <a:miter lim="800000"/>
          </a:ln>
        </cdr:spPr>
        <cdr:txBody xmlns:a="http://schemas.openxmlformats.org/drawingml/2006/main">
          <a:bodyPr wrap="square" lIns="27432" tIns="22860" rIns="27432" bIns="2286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r" rtl="0">
              <a:defRPr sz="1000"/>
            </a:pPr>
            <a:r>
              <a:rPr lang="en-US" sz="800" b="0" i="0" strike="noStrike">
                <a:solidFill>
                  <a:sysClr val="windowText" lastClr="000000"/>
                </a:solidFill>
                <a:latin typeface="Arial" panose="020B0604020202020204" pitchFamily="7" charset="0"/>
                <a:cs typeface="Arial" panose="020B0604020202020204"/>
              </a:rPr>
              <a:t>H   F</a:t>
            </a:r>
            <a:endParaRPr lang="en-US" sz="800" b="0" i="0" strike="noStrike">
              <a:solidFill>
                <a:sysClr val="windowText" lastClr="000000"/>
              </a:solidFill>
              <a:latin typeface="Arial" panose="020B0604020202020204" pitchFamily="7" charset="0"/>
              <a:cs typeface="Arial" panose="020B0604020202020204"/>
            </a:endParaRPr>
          </a:p>
        </cdr:txBody>
      </cdr:sp>
    </cdr:grpSp>
  </cdr:relSizeAnchor>
  <cdr:relSizeAnchor xmlns:cdr="http://schemas.openxmlformats.org/drawingml/2006/chartDrawing">
    <cdr:from>
      <cdr:x>0.76623</cdr:x>
      <cdr:y>0.29612</cdr:y>
    </cdr:from>
    <cdr:to>
      <cdr:x>0.90072</cdr:x>
      <cdr:y>0.49673</cdr:y>
    </cdr:to>
    <cdr:sp>
      <cdr:nvSpPr>
        <cdr:cNvPr id="6" name="直接连接符 5"/>
        <cdr:cNvSpPr>
          <a14:cpLocks xmlns:a14="http://schemas.microsoft.com/office/drawing/2010/main" noChangeShapeType="1"/>
        </cdr:cNvSpPr>
      </cdr:nvSpPr>
      <cdr:spPr xmlns:a="http://schemas.openxmlformats.org/drawingml/2006/main">
        <a:xfrm xmlns:a="http://schemas.openxmlformats.org/drawingml/2006/main" flipV="1">
          <a:off x="3035875" y="733402"/>
          <a:ext cx="532863" cy="496848"/>
        </a:xfrm>
        <a:prstGeom xmlns:a="http://schemas.openxmlformats.org/drawingml/2006/main" prst="line">
          <a:avLst/>
        </a:prstGeom>
        <a:noFill/>
        <a:ln w="6350">
          <a:solidFill>
            <a:schemeClr val="tx1">
              <a:lumMod val="65000"/>
              <a:lumOff val="35000"/>
            </a:schemeClr>
          </a:solidFill>
          <a:round/>
          <a:tailEnd type="none" w="sm" len="med"/>
        </a:ln>
      </cdr:spPr>
      <cdr:txBody xmlns:a="http://schemas.openxmlformats.org/drawingml/2006/main">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en-US" sz="800">
            <a:latin typeface="Arial" panose="020B0604020202020204" pitchFamily="7" charset="0"/>
          </a:endParaRPr>
        </a:p>
      </cdr:txBody>
    </cdr:sp>
  </cdr:relSizeAnchor>
  <cdr:relSizeAnchor xmlns:cdr="http://schemas.openxmlformats.org/drawingml/2006/chartDrawing">
    <cdr:from>
      <cdr:x>0.50616</cdr:x>
      <cdr:y>0.48874</cdr:y>
    </cdr:from>
    <cdr:to>
      <cdr:x>0.8091</cdr:x>
      <cdr:y>0.69052</cdr:y>
    </cdr:to>
    <cdr:sp>
      <cdr:nvSpPr>
        <cdr:cNvPr id="7" name="矩形 6"/>
        <cdr:cNvSpPr>
          <a14:cpLocks xmlns:a14="http://schemas.microsoft.com/office/drawing/2010/main" noChangeArrowheads="1"/>
        </cdr:cNvSpPr>
      </cdr:nvSpPr>
      <cdr:spPr xmlns:a="http://schemas.openxmlformats.org/drawingml/2006/main">
        <a:xfrm xmlns:a="http://schemas.openxmlformats.org/drawingml/2006/main">
          <a:off x="2005462" y="1210461"/>
          <a:ext cx="1200280" cy="499745"/>
        </a:xfrm>
        <a:prstGeom xmlns:a="http://schemas.openxmlformats.org/drawingml/2006/main" prst="rect">
          <a:avLst/>
        </a:prstGeom>
        <a:noFill/>
        <a:ln w="1">
          <a:noFill/>
          <a:miter lim="800000"/>
        </a:ln>
      </cdr:spPr>
      <cdr:txBody xmlns:a="http://schemas.openxmlformats.org/drawingml/2006/main">
        <a:bodyPr wrap="square" lIns="27432" tIns="22860" rIns="27432" bIns="2286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en-US" sz="800" b="0" i="0" strike="noStrike" baseline="0">
              <a:solidFill>
                <a:sysClr val="windowText" lastClr="000000"/>
              </a:solidFill>
              <a:latin typeface="Arial" panose="020B0604020202020204" pitchFamily="7" charset="0"/>
              <a:cs typeface="Arial" panose="020B0604020202020204"/>
            </a:rPr>
            <a:t>Assumptions</a:t>
          </a:r>
          <a:r>
            <a:rPr lang="en-US" sz="800" b="0" i="0" strike="noStrike">
              <a:solidFill>
                <a:sysClr val="windowText" lastClr="000000"/>
              </a:solidFill>
              <a:latin typeface="Arial" panose="020B0604020202020204" pitchFamily="7" charset="0"/>
              <a:cs typeface="Arial" panose="020B0604020202020204"/>
            </a:rPr>
            <a:t> implicit in</a:t>
          </a:r>
          <a:r>
            <a:rPr lang="en-US" sz="800" b="0" i="0" strike="noStrike" baseline="0">
              <a:solidFill>
                <a:sysClr val="windowText" lastClr="000000"/>
              </a:solidFill>
              <a:latin typeface="Arial" panose="020B0604020202020204" pitchFamily="7" charset="0"/>
              <a:cs typeface="Arial" panose="020B0604020202020204"/>
            </a:rPr>
            <a:t> 1.8% GDP growth in Q3</a:t>
          </a:r>
          <a:endParaRPr lang="en-US" sz="800" b="0" i="0" strike="noStrike">
            <a:solidFill>
              <a:sysClr val="windowText" lastClr="000000"/>
            </a:solidFill>
            <a:latin typeface="Arial" panose="020B0604020202020204" pitchFamily="7" charset="0"/>
            <a:cs typeface="Arial" panose="020B0604020202020204"/>
          </a:endParaRPr>
        </a:p>
      </cdr:txBody>
    </cdr:sp>
  </cdr:relSizeAnchor>
  <cdr:relSizeAnchor xmlns:cdr="http://schemas.openxmlformats.org/drawingml/2006/chartDrawing">
    <cdr:from>
      <cdr:x>0</cdr:x>
      <cdr:y>0</cdr:y>
    </cdr:from>
    <cdr:to>
      <cdr:x>1</cdr:x>
      <cdr:y>0.05997</cdr:y>
    </cdr:to>
    <cdr:sp>
      <cdr:nvSpPr>
        <cdr:cNvPr id="8" name="矩形 7"/>
        <cdr:cNvSpPr/>
      </cdr:nvSpPr>
      <cdr:spPr xmlns:a="http://schemas.openxmlformats.org/drawingml/2006/main">
        <a:xfrm xmlns:a="http://schemas.openxmlformats.org/drawingml/2006/main">
          <a:off x="0" y="0"/>
          <a:ext cx="3850114" cy="146304"/>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t"/>
        <a:lstStyle/>
        <a:p>
          <a:pPr algn="l" rtl="0" eaLnBrk="1"/>
          <a:r>
            <a:rPr lang="en-US" sz="1000" b="1" i="0">
              <a:solidFill>
                <a:srgbClr val="010000"/>
              </a:solidFill>
              <a:effectLst/>
              <a:latin typeface="Arial" panose="020B0604020202020204" pitchFamily="7" charset="0"/>
              <a:ea typeface="+mn-ea"/>
              <a:cs typeface="+mn-cs"/>
            </a:rPr>
            <a:t>Forecast assumptions</a:t>
          </a:r>
          <a:endParaRPr lang="en-US" sz="1000" b="1">
            <a:solidFill>
              <a:srgbClr val="010000"/>
            </a:solidFill>
            <a:effectLst/>
            <a:latin typeface="Arial" panose="020B0604020202020204" pitchFamily="7" charset="0"/>
          </a:endParaRPr>
        </a:p>
      </cdr:txBody>
    </cdr:sp>
  </cdr:relSizeAnchor>
  <cdr:relSizeAnchor xmlns:cdr="http://schemas.openxmlformats.org/drawingml/2006/chartDrawing">
    <cdr:from>
      <cdr:x>0</cdr:x>
      <cdr:y>0.89506</cdr:y>
    </cdr:from>
    <cdr:to>
      <cdr:x>1</cdr:x>
      <cdr:y>0.94753</cdr:y>
    </cdr:to>
    <cdr:sp>
      <cdr:nvSpPr>
        <cdr:cNvPr id="9" name="矩形 8"/>
        <cdr:cNvSpPr/>
      </cdr:nvSpPr>
      <cdr:spPr xmlns:a="http://schemas.openxmlformats.org/drawingml/2006/main">
        <a:xfrm xmlns:a="http://schemas.openxmlformats.org/drawingml/2006/main">
          <a:off x="0" y="2183706"/>
          <a:ext cx="3850114" cy="128016"/>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b"/>
        <a:lstStyle/>
        <a:p>
          <a:pPr algn="l" eaLnBrk="1"/>
          <a:r>
            <a:rPr lang="en-US" sz="700" b="0" i="0" u="none" strike="noStrike" baseline="0">
              <a:solidFill>
                <a:srgbClr val="010000"/>
              </a:solidFill>
              <a:latin typeface="Arial" panose="020B0604020202020204" pitchFamily="7" charset="0"/>
            </a:rPr>
            <a:t>Source: S&amp;P Global Market Intelligence.</a:t>
          </a:r>
          <a:endParaRPr lang="en-US" sz="700" b="0" i="0" u="none" strike="noStrike" baseline="0">
            <a:solidFill>
              <a:srgbClr val="010000"/>
            </a:solidFill>
            <a:latin typeface="Arial" panose="020B0604020202020204" pitchFamily="7" charset="0"/>
          </a:endParaRPr>
        </a:p>
      </cdr:txBody>
    </cdr:sp>
  </cdr:relSizeAnchor>
  <cdr:relSizeAnchor xmlns:cdr="http://schemas.openxmlformats.org/drawingml/2006/chartDrawing">
    <cdr:from>
      <cdr:x>0</cdr:x>
      <cdr:y>0.94753</cdr:y>
    </cdr:from>
    <cdr:to>
      <cdr:x>1</cdr:x>
      <cdr:y>1</cdr:y>
    </cdr:to>
    <cdr:sp>
      <cdr:nvSpPr>
        <cdr:cNvPr id="10" name="矩形 9"/>
        <cdr:cNvSpPr/>
      </cdr:nvSpPr>
      <cdr:spPr xmlns:a="http://schemas.openxmlformats.org/drawingml/2006/main">
        <a:xfrm xmlns:a="http://schemas.openxmlformats.org/drawingml/2006/main">
          <a:off x="0" y="2362522"/>
          <a:ext cx="3850114" cy="128016"/>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b"/>
        <a:lstStyle/>
        <a:p>
          <a:pPr algn="l" eaLnBrk="1"/>
          <a:r>
            <a:rPr lang="en-US" sz="700" b="0" i="0" u="none" strike="noStrike" baseline="0">
              <a:solidFill>
                <a:srgbClr val="010000"/>
              </a:solidFill>
              <a:latin typeface="Arial" panose="020B0604020202020204" pitchFamily="7" charset="0"/>
            </a:rPr>
            <a:t>© 2025 S&amp;P Global.</a:t>
          </a:r>
          <a:endParaRPr lang="en-US" sz="700" b="0" i="0" u="none" strike="noStrike" baseline="0">
            <a:solidFill>
              <a:srgbClr val="010000"/>
            </a:solidFill>
            <a:latin typeface="Arial" panose="020B0604020202020204" pitchFamily="7" charset="0"/>
          </a:endParaRPr>
        </a:p>
      </cdr:txBody>
    </cdr:sp>
  </cdr:relSizeAnchor>
  <cdr:relSizeAnchor xmlns:cdr="http://schemas.openxmlformats.org/drawingml/2006/chartDrawing">
    <cdr:from>
      <cdr:x>0</cdr:x>
      <cdr:y>0.79012</cdr:y>
    </cdr:from>
    <cdr:to>
      <cdr:x>1</cdr:x>
      <cdr:y>0.84259</cdr:y>
    </cdr:to>
    <cdr:sp>
      <cdr:nvSpPr>
        <cdr:cNvPr id="11" name="矩形 10"/>
        <cdr:cNvSpPr/>
      </cdr:nvSpPr>
      <cdr:spPr xmlns:a="http://schemas.openxmlformats.org/drawingml/2006/main">
        <a:xfrm xmlns:a="http://schemas.openxmlformats.org/drawingml/2006/main">
          <a:off x="0" y="1927674"/>
          <a:ext cx="3850114" cy="128016"/>
        </a:xfrm>
        <a:prstGeom xmlns:a="http://schemas.openxmlformats.org/drawingml/2006/main" prst="rect">
          <a:avLst/>
        </a:prstGeom>
      </cdr:spPr>
      <cdr:txBody xmlns:a="http://schemas.openxmlformats.org/drawingml/2006/main">
        <a:bodyPr vertOverflow="clip" vert="horz" lIns="0" tIns="0" rIns="0" bIns="0" rtlCol="0" anchor="b"/>
        <a:lstStyle/>
        <a:p>
          <a:pPr algn="l" eaLnBrk="1"/>
          <a:r>
            <a:rPr lang="en-US" sz="700" b="0">
              <a:solidFill>
                <a:srgbClr val="010000"/>
              </a:solidFill>
              <a:latin typeface="Arial" panose="020B0604020202020204" pitchFamily="7" charset="0"/>
            </a:rPr>
            <a:t>Data compiled Sep. 2, 2025.</a:t>
          </a:r>
          <a:endParaRPr lang="en-US" sz="700" b="0">
            <a:solidFill>
              <a:srgbClr val="010000"/>
            </a:solidFill>
            <a:latin typeface="Arial" panose="020B0604020202020204" pitchFamily="7" charset="0"/>
          </a:endParaRPr>
        </a:p>
      </cdr:txBody>
    </cdr:sp>
  </cdr:relSizeAnchor>
  <cdr:relSizeAnchor xmlns:cdr="http://schemas.openxmlformats.org/drawingml/2006/chartDrawing">
    <cdr:from>
      <cdr:x>0</cdr:x>
      <cdr:y>0.07038</cdr:y>
    </cdr:from>
    <cdr:to>
      <cdr:x>1</cdr:x>
      <cdr:y>0.13035</cdr:y>
    </cdr:to>
    <cdr:sp>
      <cdr:nvSpPr>
        <cdr:cNvPr id="12" name="矩形 11"/>
        <cdr:cNvSpPr/>
      </cdr:nvSpPr>
      <cdr:spPr xmlns:a="http://schemas.openxmlformats.org/drawingml/2006/main">
        <a:xfrm xmlns:a="http://schemas.openxmlformats.org/drawingml/2006/main">
          <a:off x="0" y="171704"/>
          <a:ext cx="3850114" cy="146304"/>
        </a:xfrm>
        <a:prstGeom xmlns:a="http://schemas.openxmlformats.org/drawingml/2006/main" prst="rect">
          <a:avLst/>
        </a:prstGeom>
      </cdr:spPr>
      <cdr:txBody xmlns:a="http://schemas.openxmlformats.org/drawingml/2006/main">
        <a:bodyPr vertOverflow="clip" vert="horz" lIns="0" tIns="0" rIns="0" bIns="0" rtlCol="0" anchor="t"/>
        <a:lstStyle/>
        <a:p>
          <a:pPr algn="l" eaLnBrk="1"/>
          <a:r>
            <a:rPr lang="en-US" sz="850" b="0">
              <a:solidFill>
                <a:srgbClr val="010000"/>
              </a:solidFill>
              <a:latin typeface="Arial" panose="020B0604020202020204" pitchFamily="7" charset="0"/>
            </a:rPr>
            <a:t>Billions of chain-type (2017) dollars, SAAR</a:t>
          </a:r>
          <a:endParaRPr lang="en-US" sz="850" b="0">
            <a:solidFill>
              <a:srgbClr val="010000"/>
            </a:solidFill>
            <a:latin typeface="Arial" panose="020B0604020202020204" pitchFamily="7" charset="0"/>
          </a:endParaRPr>
        </a:p>
      </cdr:txBody>
    </cdr:sp>
  </cdr:relSizeAnchor>
  <cdr:relSizeAnchor xmlns:cdr="http://schemas.openxmlformats.org/drawingml/2006/chartDrawing">
    <cdr:from>
      <cdr:x>0</cdr:x>
      <cdr:y>0.84259</cdr:y>
    </cdr:from>
    <cdr:to>
      <cdr:x>1</cdr:x>
      <cdr:y>0.89506</cdr:y>
    </cdr:to>
    <cdr:sp>
      <cdr:nvSpPr>
        <cdr:cNvPr id="13" name="矩形 12"/>
        <cdr:cNvSpPr/>
      </cdr:nvSpPr>
      <cdr:spPr xmlns:a="http://schemas.openxmlformats.org/drawingml/2006/main">
        <a:xfrm xmlns:a="http://schemas.openxmlformats.org/drawingml/2006/main">
          <a:off x="0" y="2055690"/>
          <a:ext cx="3850114" cy="128016"/>
        </a:xfrm>
        <a:prstGeom xmlns:a="http://schemas.openxmlformats.org/drawingml/2006/main" prst="rect">
          <a:avLst/>
        </a:prstGeom>
      </cdr:spPr>
      <cdr:txBody xmlns:a="http://schemas.openxmlformats.org/drawingml/2006/main">
        <a:bodyPr vertOverflow="clip" vert="horz" lIns="0" tIns="0" rIns="0" bIns="0" rtlCol="0" anchor="b"/>
        <a:lstStyle/>
        <a:p>
          <a:pPr algn="l" eaLnBrk="1"/>
          <a:r>
            <a:rPr lang="en-US" sz="700" b="0">
              <a:solidFill>
                <a:srgbClr val="010000"/>
              </a:solidFill>
              <a:latin typeface="Arial" panose="020B0604020202020204" pitchFamily="7" charset="0"/>
            </a:rPr>
            <a:t>SAAR = seasonally</a:t>
          </a:r>
          <a:r>
            <a:rPr lang="en-US" sz="700" b="0" baseline="0">
              <a:solidFill>
                <a:srgbClr val="010000"/>
              </a:solidFill>
              <a:latin typeface="Arial" panose="020B0604020202020204" pitchFamily="7" charset="0"/>
            </a:rPr>
            <a:t> adjusted annual rate.</a:t>
          </a:r>
          <a:endParaRPr lang="en-US" sz="700" b="0">
            <a:solidFill>
              <a:srgbClr val="010000"/>
            </a:solidFill>
            <a:latin typeface="Arial" panose="020B0604020202020204" pitchFamily="7"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0.03125</cdr:x>
      <cdr:y>0</cdr:y>
    </cdr:from>
    <cdr:to>
      <cdr:x>0.03173</cdr:x>
      <cdr:y>0</cdr:y>
    </cdr:to>
    <cdr:sp>
      <cdr:nvSpPr>
        <cdr:cNvPr id="2" name="矩形 1"/>
        <cdr:cNvSpPr>
          <a14:cpLocks xmlns:a14="http://schemas.microsoft.com/office/drawing/2010/main" noChangeArrowheads="1"/>
        </cdr:cNvSpPr>
      </cdr:nvSpPr>
      <cdr:spPr xmlns:a="http://schemas.openxmlformats.org/drawingml/2006/main">
        <a:xfrm xmlns:a="http://schemas.openxmlformats.org/drawingml/2006/main">
          <a:off x="142138" y="37781"/>
          <a:ext cx="2286737" cy="228462"/>
        </a:xfrm>
        <a:prstGeom xmlns:a="http://schemas.openxmlformats.org/drawingml/2006/main" prst="rect">
          <a:avLst/>
        </a:prstGeom>
        <a:noFill/>
        <a:ln w="1">
          <a:noFill/>
          <a:miter lim="800000"/>
        </a:ln>
      </cdr:spPr>
      <cdr:txBody xmlns:a="http://schemas.openxmlformats.org/drawingml/2006/main">
        <a:bodyPr vertOverflow="clip" wrap="square" lIns="27432" tIns="22860" rIns="27432" bIns="22860" anchor="ctr" upright="1"/>
        <a:lstStyle/>
        <a:p>
          <a:pPr algn="ctr" rtl="0">
            <a:defRPr sz="1000"/>
          </a:pPr>
          <a:endParaRPr lang="en-US" sz="700" b="0" i="0" strike="noStrike">
            <a:solidFill>
              <a:srgbClr val="000000"/>
            </a:solidFill>
            <a:latin typeface="Arial" panose="020B0604020202020204" pitchFamily="7" charset="0"/>
            <a:cs typeface="Arial" panose="020B0604020202020204"/>
          </a:endParaRPr>
        </a:p>
      </cdr:txBody>
    </cdr:sp>
  </cdr:relSizeAnchor>
  <cdr:relSizeAnchor xmlns:cdr="http://schemas.openxmlformats.org/drawingml/2006/chartDrawing">
    <cdr:from>
      <cdr:x>0</cdr:x>
      <cdr:y>0.87511</cdr:y>
    </cdr:from>
    <cdr:to>
      <cdr:x>1</cdr:x>
      <cdr:y>0.93755</cdr:y>
    </cdr:to>
    <cdr:sp>
      <cdr:nvSpPr>
        <cdr:cNvPr id="3" name="矩形 2"/>
        <cdr:cNvSpPr/>
      </cdr:nvSpPr>
      <cdr:spPr xmlns:a="http://schemas.openxmlformats.org/drawingml/2006/main">
        <a:xfrm xmlns:a="http://schemas.openxmlformats.org/drawingml/2006/main">
          <a:off x="0" y="1537684"/>
          <a:ext cx="2828925" cy="109728"/>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b"/>
        <a:lstStyle/>
        <a:p>
          <a:pPr algn="l" eaLnBrk="1"/>
          <a:r>
            <a:rPr lang="en-US" sz="600" b="0" i="0" u="none" strike="noStrike" baseline="0">
              <a:solidFill>
                <a:srgbClr val="010000"/>
              </a:solidFill>
              <a:latin typeface="Arial" panose="020B0604020202020204" pitchFamily="7" charset="0"/>
            </a:rPr>
            <a:t>Source: S&amp;P Global Market Intelligence.</a:t>
          </a:r>
          <a:endParaRPr lang="en-US" sz="600" b="0" i="0" u="none" strike="noStrike" baseline="0">
            <a:solidFill>
              <a:srgbClr val="010000"/>
            </a:solidFill>
            <a:latin typeface="Arial" panose="020B0604020202020204" pitchFamily="7" charset="0"/>
          </a:endParaRPr>
        </a:p>
      </cdr:txBody>
    </cdr:sp>
  </cdr:relSizeAnchor>
  <cdr:relSizeAnchor xmlns:cdr="http://schemas.openxmlformats.org/drawingml/2006/chartDrawing">
    <cdr:from>
      <cdr:x>0</cdr:x>
      <cdr:y>0.93755</cdr:y>
    </cdr:from>
    <cdr:to>
      <cdr:x>1</cdr:x>
      <cdr:y>1</cdr:y>
    </cdr:to>
    <cdr:sp>
      <cdr:nvSpPr>
        <cdr:cNvPr id="4" name="矩形 3"/>
        <cdr:cNvSpPr/>
      </cdr:nvSpPr>
      <cdr:spPr xmlns:a="http://schemas.openxmlformats.org/drawingml/2006/main">
        <a:xfrm xmlns:a="http://schemas.openxmlformats.org/drawingml/2006/main">
          <a:off x="0" y="1698212"/>
          <a:ext cx="2828925" cy="109728"/>
        </a:xfrm>
        <a:prstGeom xmlns:a="http://schemas.openxmlformats.org/drawingml/2006/main" prst="rect">
          <a:avLst/>
        </a:prstGeom>
        <a:noFill/>
        <a:ln w="9525" cmpd="sng">
          <a:noFill/>
          <a:prstDash val="solid"/>
        </a:ln>
      </cdr:spPr>
      <cdr:txBody xmlns:a="http://schemas.openxmlformats.org/drawingml/2006/main">
        <a:bodyPr vertOverflow="clip" vert="horz" lIns="0" tIns="0" rIns="0" bIns="0" rtlCol="0" anchor="b"/>
        <a:lstStyle/>
        <a:p>
          <a:pPr algn="l" eaLnBrk="1"/>
          <a:r>
            <a:rPr lang="en-US" sz="600" b="0" i="0" u="none" strike="noStrike" baseline="0">
              <a:solidFill>
                <a:srgbClr val="010000"/>
              </a:solidFill>
              <a:latin typeface="Arial" panose="020B0604020202020204" pitchFamily="7" charset="0"/>
            </a:rPr>
            <a:t>© 2025 S&amp;P Global.</a:t>
          </a:r>
          <a:endParaRPr lang="en-US" sz="600" b="0" i="0" u="none" strike="noStrike" baseline="0">
            <a:solidFill>
              <a:srgbClr val="010000"/>
            </a:solidFill>
            <a:latin typeface="Arial" panose="020B0604020202020204" pitchFamily="7" charset="0"/>
          </a:endParaRPr>
        </a:p>
      </cdr:txBody>
    </cdr:sp>
  </cdr:relSizeAnchor>
  <cdr:relSizeAnchor xmlns:cdr="http://schemas.openxmlformats.org/drawingml/2006/chartDrawing">
    <cdr:from>
      <cdr:x>0</cdr:x>
      <cdr:y>0</cdr:y>
    </cdr:from>
    <cdr:to>
      <cdr:x>1</cdr:x>
      <cdr:y>0.19108</cdr:y>
    </cdr:to>
    <cdr:sp>
      <cdr:nvSpPr>
        <cdr:cNvPr id="5" name="矩形 4"/>
        <cdr:cNvSpPr/>
      </cdr:nvSpPr>
      <cdr:spPr xmlns:a="http://schemas.openxmlformats.org/drawingml/2006/main">
        <a:xfrm xmlns:a="http://schemas.openxmlformats.org/drawingml/2006/main">
          <a:off x="0" y="0"/>
          <a:ext cx="2828925" cy="335757"/>
        </a:xfrm>
        <a:prstGeom xmlns:a="http://schemas.openxmlformats.org/drawingml/2006/main" prst="rect">
          <a:avLst/>
        </a:prstGeom>
        <a:noFill/>
        <a:ln w="9525" cmpd="sng">
          <a:noFill/>
          <a:prstDash val="solid"/>
        </a:ln>
      </cdr:spPr>
      <cdr:txBody xmlns:a="http://schemas.openxmlformats.org/drawingml/2006/main">
        <a:bodyPr vertOverflow="clip" vert="horz" rtlCol="0"/>
        <a:lstStyle/>
        <a:p>
          <a:pPr algn="ctr"/>
          <a:r>
            <a:rPr lang="en-US" sz="700" b="1" i="0" u="none" strike="noStrike" baseline="0">
              <a:solidFill>
                <a:sysClr val="windowText" lastClr="000000"/>
              </a:solidFill>
              <a:latin typeface="Arial" panose="020B0604020202020204" pitchFamily="7" charset="0"/>
            </a:rPr>
            <a:t>Nonfarm change in private inventories (CIPI)</a:t>
          </a:r>
          <a:endParaRPr lang="en-US" sz="700" b="1" i="0" u="none" strike="noStrike" baseline="0">
            <a:solidFill>
              <a:sysClr val="windowText" lastClr="000000"/>
            </a:solidFill>
            <a:latin typeface="Arial" panose="020B0604020202020204" pitchFamily="7" charset="0"/>
          </a:endParaRPr>
        </a:p>
      </cdr:txBody>
    </cdr:sp>
  </cdr:relSizeAnchor>
  <cdr:relSizeAnchor xmlns:cdr="http://schemas.openxmlformats.org/drawingml/2006/chartDrawing">
    <cdr:from>
      <cdr:x>0</cdr:x>
      <cdr:y>0</cdr:y>
    </cdr:from>
    <cdr:to>
      <cdr:x>1</cdr:x>
      <cdr:y>0.07285</cdr:y>
    </cdr:to>
    <cdr:sp>
      <cdr:nvSpPr>
        <cdr:cNvPr id="6" name="矩形 5"/>
        <cdr:cNvSpPr/>
      </cdr:nvSpPr>
      <cdr:spPr xmlns:a="http://schemas.openxmlformats.org/drawingml/2006/main">
        <a:xfrm xmlns:a="http://schemas.openxmlformats.org/drawingml/2006/main">
          <a:off x="0" y="0"/>
          <a:ext cx="2828925" cy="128016"/>
        </a:xfrm>
        <a:prstGeom xmlns:a="http://schemas.openxmlformats.org/drawingml/2006/main" prst="rect">
          <a:avLst/>
        </a:prstGeom>
      </cdr:spPr>
      <cdr:txBody xmlns:a="http://schemas.openxmlformats.org/drawingml/2006/main">
        <a:bodyPr vertOverflow="clip" vert="horz" lIns="0" tIns="0" rIns="0" bIns="0" rtlCol="0" anchor="t"/>
        <a:lstStyle/>
        <a:p>
          <a:pPr algn="l" eaLnBrk="1"/>
          <a:r>
            <a:rPr lang="en-US" sz="900" b="1">
              <a:solidFill>
                <a:srgbClr val="010000"/>
              </a:solidFill>
              <a:latin typeface="Arial" panose="020B0604020202020204" pitchFamily="7" charset="0"/>
            </a:rPr>
            <a:t>Add title here in sentence case</a:t>
          </a:r>
          <a:endParaRPr lang="en-US" sz="900" b="1">
            <a:solidFill>
              <a:srgbClr val="010000"/>
            </a:solidFill>
            <a:latin typeface="Arial" panose="020B0604020202020204" pitchFamily="7" charset="0"/>
          </a:endParaRPr>
        </a:p>
      </cdr:txBody>
    </cdr:sp>
  </cdr:relSizeAnchor>
  <cdr:relSizeAnchor xmlns:cdr="http://schemas.openxmlformats.org/drawingml/2006/chartDrawing">
    <cdr:from>
      <cdr:x>0</cdr:x>
      <cdr:y>0.81266</cdr:y>
    </cdr:from>
    <cdr:to>
      <cdr:x>1</cdr:x>
      <cdr:y>0.87511</cdr:y>
    </cdr:to>
    <cdr:sp>
      <cdr:nvSpPr>
        <cdr:cNvPr id="7" name="矩形 6"/>
        <cdr:cNvSpPr/>
      </cdr:nvSpPr>
      <cdr:spPr xmlns:a="http://schemas.openxmlformats.org/drawingml/2006/main">
        <a:xfrm xmlns:a="http://schemas.openxmlformats.org/drawingml/2006/main">
          <a:off x="0" y="1427956"/>
          <a:ext cx="2828925" cy="109728"/>
        </a:xfrm>
        <a:prstGeom xmlns:a="http://schemas.openxmlformats.org/drawingml/2006/main" prst="rect">
          <a:avLst/>
        </a:prstGeom>
      </cdr:spPr>
      <cdr:txBody xmlns:a="http://schemas.openxmlformats.org/drawingml/2006/main">
        <a:bodyPr vertOverflow="clip" vert="horz" lIns="0" tIns="0" rIns="0" bIns="0" rtlCol="0" anchor="b"/>
        <a:lstStyle/>
        <a:p>
          <a:pPr algn="l" eaLnBrk="1"/>
          <a:r>
            <a:rPr lang="en-US" sz="600" b="0">
              <a:solidFill>
                <a:srgbClr val="010000"/>
              </a:solidFill>
              <a:latin typeface="Arial" panose="020B0604020202020204" pitchFamily="7" charset="0"/>
            </a:rPr>
            <a:t>Data compiled</a:t>
          </a:r>
          <a:r>
            <a:rPr lang="en-US" sz="600" b="0" baseline="0">
              <a:solidFill>
                <a:srgbClr val="010000"/>
              </a:solidFill>
              <a:latin typeface="Arial" panose="020B0604020202020204" pitchFamily="7" charset="0"/>
            </a:rPr>
            <a:t> Sep. 2</a:t>
          </a:r>
          <a:r>
            <a:rPr lang="en-US" sz="600" b="0">
              <a:solidFill>
                <a:srgbClr val="010000"/>
              </a:solidFill>
              <a:latin typeface="Arial" panose="020B0604020202020204" pitchFamily="7" charset="0"/>
            </a:rPr>
            <a:t>, 2025.</a:t>
          </a:r>
          <a:endParaRPr lang="en-US" sz="600" b="0">
            <a:solidFill>
              <a:srgbClr val="010000"/>
            </a:solidFill>
            <a:latin typeface="Arial" panose="020B0604020202020204" pitchFamily="7" charset="0"/>
          </a:endParaRPr>
        </a:p>
      </cdr:txBody>
    </cdr:sp>
  </cdr:relSizeAnchor>
</c:userShapes>
</file>

<file path=xl/theme/theme1.xml><?xml version="1.0" encoding="utf-8"?>
<a:theme xmlns:a="http://schemas.openxmlformats.org/drawingml/2006/main" name="2019 Database Deliverable Theme">
  <a:themeElements>
    <a:clrScheme name="IHSM 2017 revised">
      <a:dk1>
        <a:srgbClr val="000000"/>
      </a:dk1>
      <a:lt1>
        <a:srgbClr val="FFFFFF"/>
      </a:lt1>
      <a:dk2>
        <a:srgbClr val="4B4B4B"/>
      </a:dk2>
      <a:lt2>
        <a:srgbClr val="999999"/>
      </a:lt2>
      <a:accent1>
        <a:srgbClr val="00AB4E"/>
      </a:accent1>
      <a:accent2>
        <a:srgbClr val="B1B3B6"/>
      </a:accent2>
      <a:accent3>
        <a:srgbClr val="009697"/>
      </a:accent3>
      <a:accent4>
        <a:srgbClr val="8DC63F"/>
      </a:accent4>
      <a:accent5>
        <a:srgbClr val="00B5F1"/>
      </a:accent5>
      <a:accent6>
        <a:srgbClr val="F7941D"/>
      </a:accent6>
      <a:hlink>
        <a:srgbClr val="0066B3"/>
      </a:hlink>
      <a:folHlink>
        <a:srgbClr val="96157C"/>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A1ABB2"/>
        </a:solidFill>
        <a:ln>
          <a:noFill/>
        </a:ln>
      </a:spPr>
      <a:bodyPr rtlCol="0" anchor="ctr"/>
      <a:lstStyle>
        <a:defPPr algn="ctr">
          <a:defRPr sz="1300" b="1" spc="20" dirty="0" smtClean="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L29"/>
  <sheetViews>
    <sheetView showGridLines="0" workbookViewId="0">
      <selection activeCell="A1" sqref="A1"/>
    </sheetView>
  </sheetViews>
  <sheetFormatPr defaultColWidth="9.58181818181818" defaultRowHeight="12.5"/>
  <cols>
    <col min="1" max="1" width="2.83636363636364" style="44" customWidth="1"/>
    <col min="2" max="2" width="11.8363636363636" style="44" customWidth="1"/>
    <col min="3" max="16384" width="9.58181818181818" style="44"/>
  </cols>
  <sheetData>
    <row r="1" s="41" customFormat="1" ht="20.15" customHeight="1" spans="1:12">
      <c r="L1" s="45"/>
    </row>
    <row r="3" ht="25" spans="1:12">
      <c r="B3" s="46" t="s">
        <v>0</v>
      </c>
    </row>
    <row r="4" ht="20.25" customHeight="1" spans="1:12">
      <c r="A4" s="47"/>
      <c r="B4" s="48">
        <v>45902</v>
      </c>
      <c r="C4" s="48"/>
    </row>
    <row r="5" ht="12.75" customHeight="1" spans="1:12">
      <c r="B5" s="49"/>
      <c r="C5" s="49"/>
      <c r="D5" s="49"/>
      <c r="E5" s="49"/>
      <c r="F5" s="49"/>
      <c r="G5" s="50"/>
      <c r="H5" s="49"/>
    </row>
    <row r="6" s="42" customFormat="1" ht="14" spans="1:12">
      <c r="A6" s="51"/>
      <c r="B6" s="52" t="s">
        <v>1</v>
      </c>
    </row>
    <row r="7" s="42" customFormat="1" ht="14" spans="1:12">
      <c r="A7" s="51"/>
      <c r="B7" s="52" t="s">
        <v>2</v>
      </c>
    </row>
    <row r="8" s="42" customFormat="1" spans="1:12">
      <c r="A8" s="51"/>
      <c r="B8" s="53"/>
    </row>
    <row r="9" s="43" customFormat="1" ht="95.25" customHeight="1"/>
    <row r="15" spans="1:12">
      <c r="E15" s="54"/>
    </row>
    <row r="20" spans="2:4">
      <c r="B20" s="55"/>
    </row>
    <row r="21" spans="2:4">
      <c r="B21" s="55"/>
    </row>
    <row r="22" spans="2:4">
      <c r="B22" s="55"/>
    </row>
    <row r="23" spans="2:4">
      <c r="B23" s="55"/>
    </row>
    <row r="24" spans="2:4">
      <c r="B24" s="55"/>
    </row>
    <row r="25" spans="2:4">
      <c r="B25" s="55"/>
    </row>
    <row r="26" spans="2:4">
      <c r="B26" s="55"/>
    </row>
    <row r="27" spans="2:4">
      <c r="B27" s="55"/>
    </row>
    <row r="29" spans="2:4">
      <c r="D29" s="44" t="s">
        <v>3</v>
      </c>
    </row>
  </sheetData>
  <mergeCells count="2">
    <mergeCell ref="B4:C4"/>
    <mergeCell ref="B5:H5"/>
  </mergeCells>
  <hyperlinks>
    <hyperlink ref="B7" location="Data!A1" display="Data"/>
    <hyperlink ref="B6" location="Commentary!A1" display="Monthly GDP Index Commentary"/>
  </hyperlinks>
  <printOptions horizontalCentered="1"/>
  <pageMargins left="0.511811023622047" right="0.511811023622047" top="0.984251968503937" bottom="0.511811023622047" header="0.511811023622047" footer="0.511811023622047"/>
  <pageSetup paperSize="9" scale="83" orientation="landscape"/>
  <headerFooter alignWithMargins="0">
    <oddHeader>&amp;C&amp;F</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O61"/>
  <sheetViews>
    <sheetView showGridLines="0" topLeftCell="A39" workbookViewId="0">
      <selection activeCell="B2" sqref="B2"/>
    </sheetView>
  </sheetViews>
  <sheetFormatPr defaultColWidth="8" defaultRowHeight="12.5"/>
  <cols>
    <col min="1" max="1" width="3.5" style="7" customWidth="1"/>
    <col min="2" max="2" width="18.2545454545455" style="7" customWidth="1"/>
    <col min="3" max="3" width="11.8363636363636" style="7" hidden="1" customWidth="1"/>
    <col min="4" max="5" width="7.25454545454545" style="7" customWidth="1"/>
    <col min="6" max="7" width="6.83636363636364" style="7" customWidth="1"/>
    <col min="8" max="8" width="7.83636363636364" style="7" customWidth="1"/>
    <col min="9" max="9" width="6.83636363636364" style="7" customWidth="1"/>
    <col min="10" max="10" width="7.25454545454545" style="7" customWidth="1"/>
    <col min="11" max="11" width="7.58181818181818" style="7" customWidth="1"/>
    <col min="12" max="13" width="6.83636363636364" style="7" customWidth="1"/>
    <col min="14" max="14" width="7.25454545454545" style="7" customWidth="1"/>
    <col min="15" max="15" width="7.58181818181818" style="7" customWidth="1"/>
    <col min="16" max="16384" width="8" style="7"/>
  </cols>
  <sheetData>
    <row r="1" ht="5.25" customHeight="1"/>
    <row r="2" ht="35.15" customHeight="1" spans="2:15">
      <c r="B2" s="8" t="s">
        <v>4</v>
      </c>
      <c r="H2" s="9"/>
      <c r="O2" s="10"/>
    </row>
    <row r="3" ht="2.15" customHeight="1" spans="2:15">
      <c r="E3" s="11"/>
      <c r="F3" s="11"/>
      <c r="G3" s="12"/>
      <c r="H3" s="13"/>
      <c r="I3" s="13"/>
      <c r="J3" s="13"/>
      <c r="O3"/>
    </row>
    <row r="4" s="6" customFormat="1" ht="15" customHeight="1" spans="2:15">
      <c r="B4" s="14">
        <v>45902.5243865741</v>
      </c>
      <c r="C4" s="14"/>
      <c r="D4" s="14"/>
      <c r="E4" s="14"/>
      <c r="F4" s="14"/>
      <c r="G4" s="14"/>
      <c r="H4" s="14"/>
      <c r="I4" s="14"/>
      <c r="J4" s="14"/>
      <c r="K4" s="14"/>
      <c r="L4" s="14"/>
      <c r="M4" s="14"/>
      <c r="N4" s="14"/>
      <c r="O4" s="14"/>
    </row>
    <row r="5" ht="2.15" customHeight="1"/>
    <row r="6" ht="3.75" customHeight="1" spans="2:15">
      <c r="C6" s="15"/>
      <c r="D6" s="15"/>
      <c r="E6" s="15"/>
      <c r="H6" s="16"/>
      <c r="I6" s="17"/>
      <c r="J6" s="17"/>
      <c r="K6" s="17"/>
      <c r="L6" s="17"/>
      <c r="M6" s="18"/>
      <c r="N6" s="18"/>
      <c r="O6" s="18"/>
    </row>
    <row r="7" ht="1.5" customHeight="1" spans="2:15">
      <c r="B7" s="19"/>
      <c r="C7" s="19"/>
      <c r="D7" s="19"/>
      <c r="E7" s="19"/>
      <c r="F7" s="19"/>
      <c r="G7" s="19"/>
      <c r="H7" s="19"/>
      <c r="I7" s="19"/>
      <c r="J7" s="19"/>
      <c r="K7" s="19"/>
      <c r="L7" s="19"/>
      <c r="M7" s="19"/>
      <c r="N7" s="19"/>
      <c r="O7" s="19"/>
    </row>
    <row r="8" spans="2:15">
      <c r="B8" s="20"/>
      <c r="C8" s="21">
        <v>45474</v>
      </c>
      <c r="D8" s="22">
        <v>45505</v>
      </c>
      <c r="E8" s="22">
        <v>45536</v>
      </c>
      <c r="F8" s="22">
        <v>45566</v>
      </c>
      <c r="G8" s="22">
        <v>45597</v>
      </c>
      <c r="H8" s="22">
        <v>45627</v>
      </c>
      <c r="I8" s="22">
        <v>45658</v>
      </c>
      <c r="J8" s="22">
        <v>45689</v>
      </c>
      <c r="K8" s="22">
        <v>45717</v>
      </c>
      <c r="L8" s="22">
        <v>45748</v>
      </c>
      <c r="M8" s="22">
        <v>45778</v>
      </c>
      <c r="N8" s="22">
        <v>45809</v>
      </c>
      <c r="O8" s="22">
        <v>45839</v>
      </c>
    </row>
    <row r="9" spans="2:15">
      <c r="B9" s="23" t="s">
        <v>5</v>
      </c>
      <c r="C9" s="24" t="e">
        <f t="shared" ref="C9" si="0">VLOOKUP(C8,$Q:$S,3,FALSE)</f>
        <v>#N/A</v>
      </c>
      <c r="D9" s="25">
        <v>23405.4273506739</v>
      </c>
      <c r="E9" s="25">
        <v>23405.8791993863</v>
      </c>
      <c r="F9" s="25">
        <v>23517.0680398487</v>
      </c>
      <c r="G9" s="25">
        <v>23591.3198632514</v>
      </c>
      <c r="H9" s="25">
        <v>23523.0806281179</v>
      </c>
      <c r="I9" s="25">
        <v>23522.9959788018</v>
      </c>
      <c r="J9" s="25">
        <v>23490.2869977898</v>
      </c>
      <c r="K9" s="25">
        <v>23529.212364929</v>
      </c>
      <c r="L9" s="25">
        <v>23715.3092275933</v>
      </c>
      <c r="M9" s="25">
        <v>23601.1242514312</v>
      </c>
      <c r="N9" s="25">
        <v>23806.6935357957</v>
      </c>
      <c r="O9" s="25">
        <v>23854.5316404293</v>
      </c>
    </row>
    <row r="10" spans="2:15">
      <c r="B10" s="26" t="s">
        <v>6</v>
      </c>
      <c r="C10" s="6"/>
      <c r="D10" s="27">
        <v>0.0495366122833518</v>
      </c>
      <c r="E10" s="27">
        <v>0.00193052964012619</v>
      </c>
      <c r="F10" s="27">
        <v>0.475046630443665</v>
      </c>
      <c r="G10" s="27">
        <v>0.315735887130497</v>
      </c>
      <c r="H10" s="27">
        <v>-0.289255690351597</v>
      </c>
      <c r="I10" s="27">
        <v>-0.00035985642105052</v>
      </c>
      <c r="J10" s="27">
        <v>-0.139051084485498</v>
      </c>
      <c r="K10" s="27">
        <v>0.165708350616911</v>
      </c>
      <c r="L10" s="27">
        <v>0.790918368953397</v>
      </c>
      <c r="M10" s="27">
        <v>-0.481482130661925</v>
      </c>
      <c r="N10" s="27">
        <v>0.871014796475067</v>
      </c>
      <c r="O10" s="27">
        <v>0.200943925966413</v>
      </c>
    </row>
    <row r="11" spans="2:15">
      <c r="B11" s="26" t="s">
        <v>7</v>
      </c>
      <c r="D11" s="27">
        <v>0.596061582761909</v>
      </c>
      <c r="E11" s="27">
        <v>0.0231688156233201</v>
      </c>
      <c r="F11" s="27">
        <v>5.85188518110562</v>
      </c>
      <c r="G11" s="27">
        <v>3.85532288879269</v>
      </c>
      <c r="H11" s="27">
        <v>-3.41637582829121</v>
      </c>
      <c r="I11" s="27">
        <v>-0.00431819158587254</v>
      </c>
      <c r="J11" s="27">
        <v>-1.65591074326163</v>
      </c>
      <c r="K11" s="27">
        <v>2.00672379657787</v>
      </c>
      <c r="L11" s="27">
        <v>9.91496556438296</v>
      </c>
      <c r="M11" s="27">
        <v>-5.62721027274379</v>
      </c>
      <c r="N11" s="27">
        <v>10.9677243703501</v>
      </c>
      <c r="O11" s="27">
        <v>2.43815620951267</v>
      </c>
    </row>
    <row r="12" spans="2:15">
      <c r="B12" s="28"/>
      <c r="D12" s="29"/>
      <c r="E12" s="29"/>
      <c r="F12" s="29"/>
      <c r="G12" s="29"/>
      <c r="H12" s="29"/>
      <c r="I12" s="29"/>
      <c r="J12" s="29"/>
      <c r="K12" s="29"/>
      <c r="L12" s="29"/>
      <c r="M12" s="29"/>
      <c r="N12" s="29"/>
      <c r="O12" s="29"/>
    </row>
    <row r="13" ht="14" spans="2:15">
      <c r="B13" s="30" t="s">
        <v>8</v>
      </c>
      <c r="C13" s="30"/>
      <c r="D13" s="30"/>
      <c r="E13" s="30"/>
      <c r="F13" s="30"/>
      <c r="G13"/>
      <c r="H13" s="56" t="s">
        <v>9</v>
      </c>
      <c r="I13" s="31"/>
      <c r="J13" s="31"/>
      <c r="K13" s="31"/>
      <c r="L13" s="31"/>
      <c r="M13" s="31"/>
      <c r="N13" s="31"/>
      <c r="O13" s="31"/>
    </row>
    <row r="14" spans="2:15">
      <c r="B14" s="20"/>
      <c r="D14" s="32">
        <v>45778</v>
      </c>
      <c r="E14" s="32">
        <v>45809</v>
      </c>
      <c r="F14" s="32">
        <v>45839</v>
      </c>
      <c r="G14" s="33"/>
    </row>
    <row r="15" spans="2:15">
      <c r="B15" s="6" t="s">
        <v>10</v>
      </c>
      <c r="D15" s="29">
        <v>-5.62721027274379</v>
      </c>
      <c r="E15" s="29">
        <v>10.9677243703501</v>
      </c>
      <c r="F15" s="29">
        <v>2.43815620951267</v>
      </c>
      <c r="G15" s="29"/>
    </row>
    <row r="16" spans="2:15">
      <c r="B16" s="6" t="s">
        <v>11</v>
      </c>
      <c r="D16" s="29">
        <v>-5.5064635465696</v>
      </c>
      <c r="E16" s="29">
        <v>9.6281766964313</v>
      </c>
      <c r="F16" s="29">
        <v>1.73415474336104</v>
      </c>
    </row>
    <row r="17" spans="2:15">
      <c r="B17" s="6" t="s">
        <v>12</v>
      </c>
      <c r="D17" s="29">
        <v>-2.24660846131563</v>
      </c>
      <c r="E17" s="29">
        <v>1.88705444896681</v>
      </c>
      <c r="F17" s="29">
        <v>5.49773313016874</v>
      </c>
      <c r="G17" s="29"/>
    </row>
    <row r="18" spans="2:15">
      <c r="B18" s="6" t="s">
        <v>13</v>
      </c>
      <c r="D18" s="29">
        <v>-1.38353796791305</v>
      </c>
      <c r="E18" s="29">
        <v>0.679959374267055</v>
      </c>
      <c r="F18" s="29">
        <v>2.6746146003233</v>
      </c>
      <c r="G18" s="29"/>
    </row>
    <row r="19" spans="2:15">
      <c r="B19" s="6" t="s">
        <v>14</v>
      </c>
      <c r="D19" s="29">
        <v>-1.604429632458</v>
      </c>
      <c r="E19" s="29">
        <v>-0.922976449731555</v>
      </c>
      <c r="F19" s="29">
        <v>3.15833450419606</v>
      </c>
      <c r="G19" s="29"/>
    </row>
    <row r="20" spans="2:15">
      <c r="B20" s="6" t="s">
        <v>15</v>
      </c>
      <c r="D20" s="29">
        <v>-0.807910164847654</v>
      </c>
      <c r="E20" s="29">
        <v>-0.256903839917027</v>
      </c>
      <c r="F20" s="29">
        <v>-0.178149910613886</v>
      </c>
      <c r="G20" s="29"/>
    </row>
    <row r="21" spans="2:15">
      <c r="B21" s="6" t="s">
        <v>16</v>
      </c>
      <c r="D21" s="29">
        <v>-0.260233705107979</v>
      </c>
      <c r="E21" s="29">
        <v>0.0781034936152638</v>
      </c>
      <c r="F21" s="29">
        <v>0.0159795707126262</v>
      </c>
      <c r="G21" s="29"/>
    </row>
    <row r="22" spans="2:15">
      <c r="B22" s="6" t="s">
        <v>17</v>
      </c>
      <c r="D22" s="29">
        <v>1.80950300901105</v>
      </c>
      <c r="E22" s="29">
        <v>2.30887187073307</v>
      </c>
      <c r="F22" s="29">
        <v>-0.173045634449357</v>
      </c>
      <c r="G22" s="29"/>
    </row>
    <row r="23" ht="14" spans="2:15">
      <c r="B23" s="6" t="s">
        <v>18</v>
      </c>
      <c r="D23" s="29">
        <v>-3.25985508525397</v>
      </c>
      <c r="E23" s="29">
        <v>7.7411222474645</v>
      </c>
      <c r="F23" s="29">
        <v>-3.7635783868077</v>
      </c>
      <c r="G23" s="29"/>
      <c r="H23"/>
      <c r="I23"/>
      <c r="J23"/>
      <c r="K23"/>
      <c r="L23"/>
      <c r="M23"/>
      <c r="N23"/>
      <c r="O23"/>
    </row>
    <row r="24" spans="2:15">
      <c r="B24" s="34" t="s">
        <v>19</v>
      </c>
      <c r="C24" s="20"/>
      <c r="D24" s="35">
        <v>-0.120746726174187</v>
      </c>
      <c r="E24" s="35">
        <v>1.33954767391879</v>
      </c>
      <c r="F24" s="35">
        <v>0.704001466151621</v>
      </c>
      <c r="G24" s="29"/>
    </row>
    <row r="25" spans="2:15">
      <c r="B25" s="6"/>
    </row>
    <row r="26" ht="13" spans="2:15">
      <c r="B26" s="30" t="s">
        <v>8</v>
      </c>
      <c r="C26" s="36"/>
      <c r="D26" s="36"/>
      <c r="E26" s="36"/>
      <c r="F26" s="36"/>
      <c r="H26" s="29"/>
    </row>
    <row r="27" spans="2:15">
      <c r="B27" s="37"/>
      <c r="C27" s="38"/>
      <c r="D27" s="38"/>
      <c r="E27" s="38"/>
      <c r="F27" s="38"/>
    </row>
    <row r="28" ht="13" spans="2:15">
      <c r="B28" s="39"/>
      <c r="C28" s="39"/>
      <c r="D28" s="39"/>
      <c r="E28" s="39"/>
      <c r="F28" s="39"/>
    </row>
    <row r="29" spans="2:15">
      <c r="B29" s="38"/>
      <c r="C29" s="38"/>
      <c r="D29" s="38"/>
      <c r="E29" s="38"/>
      <c r="F29" s="38"/>
    </row>
    <row r="30" spans="2:15">
      <c r="B30" s="38"/>
      <c r="C30" s="38"/>
      <c r="D30" s="38"/>
      <c r="E30" s="38"/>
      <c r="F30" s="38"/>
    </row>
    <row r="31" spans="2:15">
      <c r="B31" s="38"/>
      <c r="C31" s="38"/>
      <c r="D31" s="38"/>
      <c r="E31" s="38"/>
      <c r="F31" s="38"/>
    </row>
    <row r="32" spans="2:15">
      <c r="B32" s="38"/>
      <c r="C32" s="38"/>
      <c r="D32" s="38"/>
      <c r="E32" s="38"/>
      <c r="F32" s="38"/>
    </row>
    <row r="33" spans="2:15">
      <c r="B33" s="38"/>
      <c r="C33" s="38"/>
      <c r="D33" s="38"/>
      <c r="E33" s="38"/>
      <c r="F33" s="38"/>
    </row>
    <row r="34" spans="2:15">
      <c r="B34" s="38"/>
      <c r="C34" s="38"/>
      <c r="D34" s="38"/>
      <c r="E34" s="38"/>
      <c r="F34" s="38"/>
    </row>
    <row r="35" spans="2:15">
      <c r="B35" s="38"/>
      <c r="C35" s="38"/>
      <c r="D35" s="38"/>
      <c r="E35" s="38"/>
      <c r="F35" s="38"/>
    </row>
    <row r="36" spans="2:15">
      <c r="B36" s="38"/>
      <c r="C36" s="38"/>
      <c r="D36" s="38"/>
      <c r="E36" s="38"/>
      <c r="F36" s="38"/>
    </row>
    <row r="37" spans="2:15">
      <c r="B37" s="38"/>
      <c r="C37" s="38"/>
      <c r="D37" s="38"/>
      <c r="E37" s="38"/>
      <c r="F37" s="38"/>
    </row>
    <row r="38" ht="13" spans="2:15">
      <c r="B38" s="39"/>
      <c r="C38" s="39"/>
      <c r="D38" s="39"/>
      <c r="E38" s="39"/>
      <c r="F38" s="39"/>
    </row>
    <row r="39" spans="2:15">
      <c r="B39" s="38"/>
      <c r="C39" s="38"/>
      <c r="D39" s="38"/>
      <c r="E39" s="38"/>
      <c r="F39" s="38"/>
    </row>
    <row r="40" ht="14" spans="2:15">
      <c r="B40" s="38"/>
      <c r="C40" s="38"/>
      <c r="D40" s="38"/>
      <c r="E40" s="38"/>
      <c r="F40" s="38"/>
      <c r="H40"/>
      <c r="I40"/>
      <c r="J40"/>
      <c r="K40"/>
      <c r="L40"/>
      <c r="M40"/>
      <c r="N40"/>
      <c r="O40"/>
    </row>
    <row r="41" spans="2:15">
      <c r="B41" s="38"/>
      <c r="C41" s="38"/>
      <c r="D41" s="38"/>
      <c r="E41" s="38"/>
      <c r="F41" s="38"/>
    </row>
    <row r="42" spans="2:15">
      <c r="B42" s="38"/>
      <c r="C42" s="38"/>
      <c r="D42" s="38"/>
      <c r="E42" s="38"/>
      <c r="F42" s="38"/>
    </row>
    <row r="43" spans="2:15">
      <c r="B43" s="38"/>
      <c r="C43" s="38"/>
      <c r="D43" s="38"/>
      <c r="E43" s="38"/>
      <c r="F43" s="38"/>
    </row>
    <row r="44" spans="2:15">
      <c r="B44" s="38"/>
      <c r="C44" s="38"/>
      <c r="D44" s="38"/>
      <c r="E44" s="38"/>
      <c r="F44" s="38"/>
    </row>
    <row r="45" spans="2:15">
      <c r="B45" s="38"/>
      <c r="C45" s="38"/>
      <c r="D45" s="38"/>
      <c r="E45" s="38"/>
      <c r="F45" s="38"/>
    </row>
    <row r="46" spans="2:15">
      <c r="B46" s="38"/>
      <c r="C46" s="38"/>
      <c r="D46" s="38"/>
      <c r="E46" s="38"/>
      <c r="F46" s="38"/>
    </row>
    <row r="47" ht="13" spans="2:15">
      <c r="B47" s="39"/>
      <c r="C47" s="39"/>
      <c r="D47" s="39"/>
      <c r="E47" s="39"/>
      <c r="F47" s="39"/>
    </row>
    <row r="48" spans="2:15">
      <c r="B48" s="38"/>
      <c r="C48" s="38"/>
      <c r="D48" s="38"/>
      <c r="E48" s="38"/>
      <c r="F48" s="38"/>
    </row>
    <row r="49" spans="2:15">
      <c r="B49" s="38"/>
      <c r="C49" s="38"/>
      <c r="D49" s="38"/>
      <c r="E49" s="38"/>
      <c r="F49" s="38"/>
    </row>
    <row r="50" spans="2:15">
      <c r="B50" s="38"/>
      <c r="C50" s="38"/>
      <c r="D50" s="38"/>
      <c r="E50" s="38"/>
      <c r="F50" s="38"/>
    </row>
    <row r="51" spans="2:15">
      <c r="B51" s="38"/>
      <c r="C51" s="38"/>
      <c r="D51" s="38"/>
      <c r="E51" s="38"/>
      <c r="F51" s="38"/>
    </row>
    <row r="52" spans="2:15">
      <c r="B52" s="38"/>
      <c r="C52" s="38"/>
      <c r="D52" s="38"/>
      <c r="E52" s="38"/>
      <c r="F52" s="38"/>
    </row>
    <row r="53" spans="2:15">
      <c r="B53" s="38"/>
      <c r="C53" s="38"/>
      <c r="D53" s="38"/>
      <c r="E53" s="38"/>
      <c r="F53" s="38"/>
    </row>
    <row r="54" spans="2:15">
      <c r="B54" s="38"/>
      <c r="C54" s="38"/>
      <c r="D54" s="38"/>
      <c r="E54" s="38"/>
      <c r="F54" s="38"/>
    </row>
    <row r="55" spans="2:15">
      <c r="B55" s="38"/>
      <c r="C55" s="38"/>
      <c r="D55" s="38"/>
      <c r="E55" s="38"/>
      <c r="F55" s="38"/>
    </row>
    <row r="56" ht="14" spans="2:15">
      <c r="B56"/>
      <c r="C56"/>
      <c r="D56"/>
      <c r="E56"/>
      <c r="F56"/>
      <c r="G56"/>
      <c r="H56"/>
      <c r="I56"/>
      <c r="J56"/>
      <c r="K56"/>
      <c r="L56"/>
      <c r="M56"/>
      <c r="N56"/>
      <c r="O56"/>
    </row>
    <row r="57" ht="14" spans="2:15">
      <c r="B57"/>
      <c r="C57"/>
      <c r="D57"/>
      <c r="E57"/>
      <c r="F57"/>
      <c r="G57"/>
      <c r="H57"/>
      <c r="I57"/>
      <c r="J57"/>
      <c r="K57"/>
      <c r="L57"/>
      <c r="M57"/>
      <c r="N57"/>
      <c r="O57"/>
    </row>
    <row r="60" ht="14" spans="2:15">
      <c r="B60"/>
      <c r="C60"/>
      <c r="D60"/>
      <c r="E60"/>
      <c r="F60"/>
      <c r="G60"/>
      <c r="H60"/>
      <c r="I60"/>
      <c r="J60"/>
      <c r="K60"/>
      <c r="L60"/>
      <c r="M60"/>
      <c r="N60"/>
      <c r="O60"/>
    </row>
    <row r="61" ht="14" spans="2:15">
      <c r="B61" s="40"/>
      <c r="C61" s="40"/>
      <c r="D61" s="40"/>
      <c r="E61" s="40"/>
      <c r="F61" s="40"/>
      <c r="G61" s="40"/>
      <c r="H61" s="40"/>
      <c r="I61" s="40"/>
      <c r="J61" s="40"/>
      <c r="K61" s="40"/>
      <c r="L61" s="40"/>
      <c r="M61" s="40"/>
      <c r="N61" s="40"/>
      <c r="O61" s="40"/>
    </row>
  </sheetData>
  <mergeCells count="7">
    <mergeCell ref="B4:O4"/>
    <mergeCell ref="B13:F13"/>
    <mergeCell ref="H13:O13"/>
    <mergeCell ref="B26:F26"/>
    <mergeCell ref="B28:F28"/>
    <mergeCell ref="B38:F38"/>
    <mergeCell ref="B47:F47"/>
  </mergeCells>
  <pageMargins left="0.75" right="0.75" top="0.4" bottom="0.2" header="0.5" footer="0.5"/>
  <pageSetup paperSize="1" scale="99" orientation="portrait"/>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E404"/>
  <sheetViews>
    <sheetView tabSelected="1" zoomScale="130" zoomScaleNormal="130" workbookViewId="0">
      <pane xSplit="1" ySplit="1" topLeftCell="B2" activePane="bottomRight" state="frozen"/>
      <selection/>
      <selection pane="topRight"/>
      <selection pane="bottomLeft"/>
      <selection pane="bottomRight" activeCell="F401" sqref="F401"/>
    </sheetView>
  </sheetViews>
  <sheetFormatPr defaultColWidth="9" defaultRowHeight="14" outlineLevelCol="4"/>
  <cols>
    <col min="1" max="1" width="10.3363636363636" customWidth="1"/>
    <col min="2" max="2" width="14.8363636363636" customWidth="1"/>
    <col min="3" max="3" width="13.2545454545455" customWidth="1"/>
    <col min="5" max="5" width="13.8363636363636" customWidth="1"/>
  </cols>
  <sheetData>
    <row r="1" ht="39" spans="1:5">
      <c r="A1" s="1"/>
      <c r="B1" s="2" t="s">
        <v>20</v>
      </c>
      <c r="C1" s="2" t="s">
        <v>21</v>
      </c>
      <c r="E1" s="3"/>
    </row>
    <row r="2" spans="1:5">
      <c r="A2" s="1" t="s">
        <v>22</v>
      </c>
      <c r="B2" s="4">
        <v>6310.17688648047</v>
      </c>
      <c r="C2" s="4">
        <v>10168.5002552288</v>
      </c>
      <c r="E2" s="5"/>
    </row>
    <row r="3" spans="1:5">
      <c r="A3" s="1" t="s">
        <v>23</v>
      </c>
      <c r="B3" s="4">
        <v>6352.47547263193</v>
      </c>
      <c r="C3" s="4">
        <v>10216.0388292623</v>
      </c>
      <c r="E3" s="5"/>
    </row>
    <row r="4" spans="1:5">
      <c r="A4" s="1" t="s">
        <v>24</v>
      </c>
      <c r="B4" s="4">
        <v>6426.6536408902</v>
      </c>
      <c r="C4" s="4">
        <v>10322.894382207</v>
      </c>
      <c r="E4" s="5"/>
    </row>
    <row r="5" spans="1:5">
      <c r="A5" s="1" t="s">
        <v>25</v>
      </c>
      <c r="B5" s="4">
        <v>6443.69516041966</v>
      </c>
      <c r="C5" s="4">
        <v>10314.5983696836</v>
      </c>
      <c r="E5" s="5"/>
    </row>
    <row r="6" spans="1:5">
      <c r="A6" s="1" t="s">
        <v>26</v>
      </c>
      <c r="B6" s="4">
        <v>6429.30247186074</v>
      </c>
      <c r="C6" s="4">
        <v>10285.8773655241</v>
      </c>
      <c r="E6" s="5"/>
    </row>
    <row r="7" spans="1:5">
      <c r="A7" s="1" t="s">
        <v>27</v>
      </c>
      <c r="B7" s="4">
        <v>6539.29136771797</v>
      </c>
      <c r="C7" s="4">
        <v>10439.8635498012</v>
      </c>
      <c r="E7" s="5"/>
    </row>
    <row r="8" spans="1:5">
      <c r="A8" s="1" t="s">
        <v>28</v>
      </c>
      <c r="B8" s="4">
        <v>6558.36328308604</v>
      </c>
      <c r="C8" s="4">
        <v>10452.60157093</v>
      </c>
      <c r="E8" s="5"/>
    </row>
    <row r="9" spans="1:5">
      <c r="A9" s="1" t="s">
        <v>29</v>
      </c>
      <c r="B9" s="4">
        <v>6553.78236425428</v>
      </c>
      <c r="C9" s="4">
        <v>10425.7703541753</v>
      </c>
      <c r="E9" s="5"/>
    </row>
    <row r="10" spans="1:5">
      <c r="A10" s="1" t="s">
        <v>30</v>
      </c>
      <c r="B10" s="4">
        <v>6587.77735265559</v>
      </c>
      <c r="C10" s="4">
        <v>10468.7336212716</v>
      </c>
      <c r="E10" s="5"/>
    </row>
    <row r="11" spans="1:5">
      <c r="A11" s="1" t="s">
        <v>31</v>
      </c>
      <c r="B11" s="4">
        <v>6637.68259423075</v>
      </c>
      <c r="C11" s="4">
        <v>10525.1403426389</v>
      </c>
      <c r="E11" s="5"/>
    </row>
    <row r="12" spans="1:5">
      <c r="A12" s="1" t="s">
        <v>32</v>
      </c>
      <c r="B12" s="4">
        <v>6676.68045266306</v>
      </c>
      <c r="C12" s="4">
        <v>10549.4052103419</v>
      </c>
      <c r="E12" s="5"/>
    </row>
    <row r="13" spans="1:5">
      <c r="A13" s="1" t="s">
        <v>33</v>
      </c>
      <c r="B13" s="4">
        <v>6728.04595310983</v>
      </c>
      <c r="C13" s="4">
        <v>10599.3535355762</v>
      </c>
      <c r="E13" s="5"/>
    </row>
    <row r="14" spans="1:5">
      <c r="A14" s="1" t="s">
        <v>34</v>
      </c>
      <c r="B14" s="4">
        <v>6705.78893609326</v>
      </c>
      <c r="C14" s="4">
        <v>10558.1355704814</v>
      </c>
      <c r="E14" s="5"/>
    </row>
    <row r="15" spans="1:5">
      <c r="A15" s="1" t="s">
        <v>35</v>
      </c>
      <c r="B15" s="4">
        <v>6738.16995647672</v>
      </c>
      <c r="C15" s="4">
        <v>10588.8990472593</v>
      </c>
      <c r="E15" s="5"/>
    </row>
    <row r="16" spans="1:5">
      <c r="A16" s="1" t="s">
        <v>36</v>
      </c>
      <c r="B16" s="4">
        <v>6744.41810743152</v>
      </c>
      <c r="C16" s="4">
        <v>10579.7381500835</v>
      </c>
      <c r="E16" s="5"/>
    </row>
    <row r="17" spans="1:5">
      <c r="A17" s="1" t="s">
        <v>37</v>
      </c>
      <c r="B17" s="4">
        <v>6766.20178820536</v>
      </c>
      <c r="C17" s="4">
        <v>10593.2137061599</v>
      </c>
      <c r="E17" s="5"/>
    </row>
    <row r="18" spans="1:5">
      <c r="A18" s="1" t="s">
        <v>38</v>
      </c>
      <c r="B18" s="4">
        <v>6816.96665004727</v>
      </c>
      <c r="C18" s="4">
        <v>10647.5052337495</v>
      </c>
      <c r="E18" s="5"/>
    </row>
    <row r="19" spans="1:5">
      <c r="A19" s="1" t="s">
        <v>39</v>
      </c>
      <c r="B19" s="4">
        <v>6843.64856173945</v>
      </c>
      <c r="C19" s="4">
        <v>10670.7245345837</v>
      </c>
      <c r="E19" s="5"/>
    </row>
    <row r="20" spans="1:5">
      <c r="A20" s="1" t="s">
        <v>40</v>
      </c>
      <c r="B20" s="4">
        <v>6833.24439139132</v>
      </c>
      <c r="C20" s="4">
        <v>10632.1195300376</v>
      </c>
      <c r="E20" s="5"/>
    </row>
    <row r="21" spans="1:5">
      <c r="A21" s="1" t="s">
        <v>41</v>
      </c>
      <c r="B21" s="4">
        <v>6874.67245688655</v>
      </c>
      <c r="C21" s="4">
        <v>10675.4016355565</v>
      </c>
      <c r="E21" s="5"/>
    </row>
    <row r="22" spans="1:5">
      <c r="A22" s="1" t="s">
        <v>42</v>
      </c>
      <c r="B22" s="4">
        <v>6938.37715172343</v>
      </c>
      <c r="C22" s="4">
        <v>10756.1654733612</v>
      </c>
      <c r="E22" s="5"/>
    </row>
    <row r="23" spans="1:5">
      <c r="A23" s="1" t="s">
        <v>43</v>
      </c>
      <c r="B23" s="4">
        <v>6942.10728272601</v>
      </c>
      <c r="C23" s="4">
        <v>10749.0514932335</v>
      </c>
      <c r="E23" s="5"/>
    </row>
    <row r="24" spans="1:5">
      <c r="A24" s="1" t="s">
        <v>44</v>
      </c>
      <c r="B24" s="4">
        <v>7036.69729727544</v>
      </c>
      <c r="C24" s="4">
        <v>10861.3320451006</v>
      </c>
      <c r="E24" s="5"/>
    </row>
    <row r="25" spans="1:5">
      <c r="A25" s="1" t="s">
        <v>45</v>
      </c>
      <c r="B25" s="4">
        <v>7062.40942000235</v>
      </c>
      <c r="C25" s="4">
        <v>10889.4664319248</v>
      </c>
      <c r="E25" s="5"/>
    </row>
    <row r="26" spans="1:5">
      <c r="A26" s="1" t="s">
        <v>46</v>
      </c>
      <c r="B26" s="4">
        <v>7069.26359697175</v>
      </c>
      <c r="C26" s="4">
        <v>10878.2291357641</v>
      </c>
      <c r="E26" s="5"/>
    </row>
    <row r="27" spans="1:5">
      <c r="A27" s="1" t="s">
        <v>47</v>
      </c>
      <c r="B27" s="4">
        <v>7118.60996681461</v>
      </c>
      <c r="C27" s="4">
        <v>10940.7387879011</v>
      </c>
      <c r="E27" s="5"/>
    </row>
    <row r="28" spans="1:5">
      <c r="A28" s="1" t="s">
        <v>48</v>
      </c>
      <c r="B28" s="4">
        <v>7159.08243622482</v>
      </c>
      <c r="C28" s="4">
        <v>10996.2905008553</v>
      </c>
      <c r="E28" s="5"/>
    </row>
    <row r="29" spans="1:5">
      <c r="A29" s="1" t="s">
        <v>49</v>
      </c>
      <c r="B29" s="4">
        <v>7182.14084285643</v>
      </c>
      <c r="C29" s="4">
        <v>11011.9174551051</v>
      </c>
      <c r="E29" s="5"/>
    </row>
    <row r="30" spans="1:5">
      <c r="A30" s="1" t="s">
        <v>50</v>
      </c>
      <c r="B30" s="4">
        <v>7286.21817182006</v>
      </c>
      <c r="C30" s="4">
        <v>11121.5505574953</v>
      </c>
      <c r="E30" s="5"/>
    </row>
    <row r="31" spans="1:5">
      <c r="A31" s="1" t="s">
        <v>51</v>
      </c>
      <c r="B31" s="4">
        <v>7272.43398532345</v>
      </c>
      <c r="C31" s="4">
        <v>11126.4303111962</v>
      </c>
      <c r="E31" s="5"/>
    </row>
    <row r="32" spans="1:5">
      <c r="A32" s="1" t="s">
        <v>52</v>
      </c>
      <c r="B32" s="4">
        <v>7296.18989262397</v>
      </c>
      <c r="C32" s="4">
        <v>11113.2732333089</v>
      </c>
      <c r="E32" s="5"/>
    </row>
    <row r="33" spans="1:5">
      <c r="A33" s="1" t="s">
        <v>53</v>
      </c>
      <c r="B33" s="4">
        <v>7352.24968428558</v>
      </c>
      <c r="C33" s="4">
        <v>11194.060434926</v>
      </c>
      <c r="E33" s="5"/>
    </row>
    <row r="34" spans="1:5">
      <c r="A34" s="1" t="s">
        <v>54</v>
      </c>
      <c r="B34" s="4">
        <v>7344.78542308944</v>
      </c>
      <c r="C34" s="4">
        <v>11147.1332595836</v>
      </c>
      <c r="E34" s="5"/>
    </row>
    <row r="35" spans="1:5">
      <c r="A35" s="1" t="s">
        <v>55</v>
      </c>
      <c r="B35" s="4">
        <v>7431.53871309972</v>
      </c>
      <c r="C35" s="4">
        <v>11250.243970413</v>
      </c>
      <c r="E35" s="5"/>
    </row>
    <row r="36" spans="1:5">
      <c r="A36" s="1" t="s">
        <v>56</v>
      </c>
      <c r="B36" s="4">
        <v>7431.00648116667</v>
      </c>
      <c r="C36" s="4">
        <v>11238.1464177979</v>
      </c>
      <c r="E36" s="5"/>
    </row>
    <row r="37" spans="1:5">
      <c r="A37" s="1" t="s">
        <v>57</v>
      </c>
      <c r="B37" s="4">
        <v>7503.31880574159</v>
      </c>
      <c r="C37" s="4">
        <v>11349.8370187686</v>
      </c>
      <c r="E37" s="5"/>
    </row>
    <row r="38" spans="1:5">
      <c r="A38" s="1" t="s">
        <v>58</v>
      </c>
      <c r="B38" s="4">
        <v>7535.38733594917</v>
      </c>
      <c r="C38" s="4">
        <v>11346.0089157062</v>
      </c>
      <c r="E38" s="5"/>
    </row>
    <row r="39" spans="1:5">
      <c r="A39" s="1" t="s">
        <v>59</v>
      </c>
      <c r="B39" s="4">
        <v>7478.53744302909</v>
      </c>
      <c r="C39" s="4">
        <v>11257.0204810232</v>
      </c>
      <c r="E39" s="5"/>
    </row>
    <row r="40" spans="1:5">
      <c r="A40" s="1" t="s">
        <v>60</v>
      </c>
      <c r="B40" s="4">
        <v>7552.94222102205</v>
      </c>
      <c r="C40" s="4">
        <v>11355.7433960867</v>
      </c>
      <c r="E40" s="5"/>
    </row>
    <row r="41" spans="1:5">
      <c r="A41" s="1" t="s">
        <v>61</v>
      </c>
      <c r="B41" s="4">
        <v>7534.63762092885</v>
      </c>
      <c r="C41" s="4">
        <v>11290.2655376714</v>
      </c>
      <c r="E41" s="5"/>
    </row>
    <row r="42" spans="1:5">
      <c r="A42" s="1" t="s">
        <v>62</v>
      </c>
      <c r="B42" s="4">
        <v>7560.383605295</v>
      </c>
      <c r="C42" s="4">
        <v>11326.7935400544</v>
      </c>
      <c r="E42" s="5"/>
    </row>
    <row r="43" spans="1:5">
      <c r="A43" s="1" t="s">
        <v>63</v>
      </c>
      <c r="B43" s="4">
        <v>7647.96977378644</v>
      </c>
      <c r="C43" s="4">
        <v>11443.5607238471</v>
      </c>
      <c r="E43" s="5"/>
    </row>
    <row r="44" spans="1:5">
      <c r="A44" s="1" t="s">
        <v>64</v>
      </c>
      <c r="B44" s="4">
        <v>7628.98206128435</v>
      </c>
      <c r="C44" s="4">
        <v>11377.5838827871</v>
      </c>
      <c r="E44" s="5"/>
    </row>
    <row r="45" spans="1:5">
      <c r="A45" s="1" t="s">
        <v>65</v>
      </c>
      <c r="B45" s="4">
        <v>7677.22327252779</v>
      </c>
      <c r="C45" s="4">
        <v>11445.8971516196</v>
      </c>
      <c r="E45" s="5"/>
    </row>
    <row r="46" spans="1:5">
      <c r="A46" s="1" t="s">
        <v>66</v>
      </c>
      <c r="B46" s="4">
        <v>7743.16966619395</v>
      </c>
      <c r="C46" s="4">
        <v>11527.0774508628</v>
      </c>
      <c r="E46" s="5"/>
    </row>
    <row r="47" spans="1:5">
      <c r="A47" s="1" t="s">
        <v>67</v>
      </c>
      <c r="B47" s="4">
        <v>7754.53054728235</v>
      </c>
      <c r="C47" s="4">
        <v>11491.2746283861</v>
      </c>
      <c r="E47" s="5"/>
    </row>
    <row r="48" spans="1:5">
      <c r="A48" s="1" t="s">
        <v>68</v>
      </c>
      <c r="B48" s="4">
        <v>7746.17109607448</v>
      </c>
      <c r="C48" s="4">
        <v>11496.5155584554</v>
      </c>
      <c r="E48" s="5"/>
    </row>
    <row r="49" spans="1:5">
      <c r="A49" s="1" t="s">
        <v>69</v>
      </c>
      <c r="B49" s="4">
        <v>7817.05635664355</v>
      </c>
      <c r="C49" s="4">
        <v>11596.7520772046</v>
      </c>
      <c r="E49" s="5"/>
    </row>
    <row r="50" spans="1:5">
      <c r="A50" s="1" t="s">
        <v>70</v>
      </c>
      <c r="B50" s="4">
        <v>7835.97590231727</v>
      </c>
      <c r="C50" s="4">
        <v>11577.9341099249</v>
      </c>
      <c r="E50" s="5"/>
    </row>
    <row r="51" spans="1:5">
      <c r="A51" s="1" t="s">
        <v>71</v>
      </c>
      <c r="B51" s="4">
        <v>7847.29433088648</v>
      </c>
      <c r="C51" s="4">
        <v>11591.4546741596</v>
      </c>
      <c r="E51" s="5"/>
    </row>
    <row r="52" spans="1:5">
      <c r="A52" s="1" t="s">
        <v>72</v>
      </c>
      <c r="B52" s="4">
        <v>7922.13376678599</v>
      </c>
      <c r="C52" s="4">
        <v>11675.1765094003</v>
      </c>
      <c r="E52" s="5"/>
    </row>
    <row r="53" spans="1:5">
      <c r="A53" s="1" t="s">
        <v>73</v>
      </c>
      <c r="B53" s="4">
        <v>8026.04035052577</v>
      </c>
      <c r="C53" s="4">
        <v>11819.6002192228</v>
      </c>
      <c r="E53" s="5"/>
    </row>
    <row r="54" spans="1:5">
      <c r="A54" s="1" t="s">
        <v>74</v>
      </c>
      <c r="B54" s="4">
        <v>8008.35321132841</v>
      </c>
      <c r="C54" s="4">
        <v>11775.5851106755</v>
      </c>
      <c r="E54" s="5"/>
    </row>
    <row r="55" spans="1:5">
      <c r="A55" s="1" t="s">
        <v>75</v>
      </c>
      <c r="B55" s="4">
        <v>8064.12643814284</v>
      </c>
      <c r="C55" s="4">
        <v>11830.6900671561</v>
      </c>
      <c r="E55" s="5"/>
    </row>
    <row r="56" spans="1:5">
      <c r="A56" s="1" t="s">
        <v>76</v>
      </c>
      <c r="B56" s="4">
        <v>8107.73008304664</v>
      </c>
      <c r="C56" s="4">
        <v>11888.5401018595</v>
      </c>
      <c r="E56" s="5"/>
    </row>
    <row r="57" spans="1:5">
      <c r="A57" s="1" t="s">
        <v>77</v>
      </c>
      <c r="B57" s="4">
        <v>8116.23187744113</v>
      </c>
      <c r="C57" s="4">
        <v>11899.5178429355</v>
      </c>
      <c r="E57" s="5"/>
    </row>
    <row r="58" spans="1:5">
      <c r="A58" s="1" t="s">
        <v>78</v>
      </c>
      <c r="B58" s="4">
        <v>8170.26203950205</v>
      </c>
      <c r="C58" s="4">
        <v>11955.2252733207</v>
      </c>
      <c r="E58" s="5"/>
    </row>
    <row r="59" spans="1:5">
      <c r="A59" s="1" t="s">
        <v>79</v>
      </c>
      <c r="B59" s="4">
        <v>8260.29392708231</v>
      </c>
      <c r="C59" s="4">
        <v>12052.9805417941</v>
      </c>
      <c r="E59" s="5"/>
    </row>
    <row r="60" spans="1:5">
      <c r="A60" s="1" t="s">
        <v>80</v>
      </c>
      <c r="B60" s="4">
        <v>8272.22105026991</v>
      </c>
      <c r="C60" s="4">
        <v>12047.709050652</v>
      </c>
      <c r="E60" s="5"/>
    </row>
    <row r="61" spans="1:5">
      <c r="A61" s="1" t="s">
        <v>81</v>
      </c>
      <c r="B61" s="4">
        <v>8246.79802265197</v>
      </c>
      <c r="C61" s="4">
        <v>12013.794461262</v>
      </c>
      <c r="E61" s="5"/>
    </row>
    <row r="62" spans="1:5">
      <c r="A62" s="1" t="s">
        <v>82</v>
      </c>
      <c r="B62" s="4">
        <v>8309.89447201086</v>
      </c>
      <c r="C62" s="4">
        <v>12086.7133760818</v>
      </c>
      <c r="E62" s="5"/>
    </row>
    <row r="63" spans="1:5">
      <c r="A63" s="1" t="s">
        <v>83</v>
      </c>
      <c r="B63" s="4">
        <v>8387.06820699986</v>
      </c>
      <c r="C63" s="4">
        <v>12172.7183047099</v>
      </c>
      <c r="E63" s="5"/>
    </row>
    <row r="64" spans="1:5">
      <c r="A64" s="1" t="s">
        <v>84</v>
      </c>
      <c r="B64" s="4">
        <v>8391.0023209838</v>
      </c>
      <c r="C64" s="4">
        <v>12088.1914458652</v>
      </c>
      <c r="E64" s="5"/>
    </row>
    <row r="65" spans="1:5">
      <c r="A65" s="1" t="s">
        <v>85</v>
      </c>
      <c r="B65" s="4">
        <v>8509.63254907462</v>
      </c>
      <c r="C65" s="4">
        <v>12357.4167329116</v>
      </c>
      <c r="E65" s="5"/>
    </row>
    <row r="66" spans="1:5">
      <c r="A66" s="1" t="s">
        <v>86</v>
      </c>
      <c r="B66" s="4">
        <v>8478.80699619641</v>
      </c>
      <c r="C66" s="4">
        <v>12244.1162680713</v>
      </c>
      <c r="E66" s="5"/>
    </row>
    <row r="67" spans="1:5">
      <c r="A67" s="1" t="s">
        <v>87</v>
      </c>
      <c r="B67" s="4">
        <v>8568.03545472403</v>
      </c>
      <c r="C67" s="4">
        <v>12351.3603495229</v>
      </c>
      <c r="E67" s="5"/>
    </row>
    <row r="68" spans="1:5">
      <c r="A68" s="1" t="s">
        <v>88</v>
      </c>
      <c r="B68" s="4">
        <v>8621.27226332412</v>
      </c>
      <c r="C68" s="4">
        <v>12451.0212847305</v>
      </c>
      <c r="E68" s="5"/>
    </row>
    <row r="69" spans="1:5">
      <c r="A69" s="1" t="s">
        <v>89</v>
      </c>
      <c r="B69" s="4">
        <v>8655.04580555363</v>
      </c>
      <c r="C69" s="4">
        <v>12481.0927630992</v>
      </c>
      <c r="E69" s="5"/>
    </row>
    <row r="70" spans="1:5">
      <c r="A70" s="1" t="s">
        <v>90</v>
      </c>
      <c r="B70" s="4">
        <v>8712.15093111878</v>
      </c>
      <c r="C70" s="4">
        <v>12482.1898412976</v>
      </c>
      <c r="E70" s="5"/>
    </row>
    <row r="71" spans="1:5">
      <c r="A71" s="1" t="s">
        <v>91</v>
      </c>
      <c r="B71" s="4">
        <v>8747.99758876353</v>
      </c>
      <c r="C71" s="4">
        <v>12562.7207873466</v>
      </c>
      <c r="E71" s="5"/>
    </row>
    <row r="72" spans="1:5">
      <c r="A72" s="1" t="s">
        <v>92</v>
      </c>
      <c r="B72" s="4">
        <v>8737.15374000902</v>
      </c>
      <c r="C72" s="4">
        <v>12536.9625035491</v>
      </c>
      <c r="E72" s="5"/>
    </row>
    <row r="73" spans="1:5">
      <c r="A73" s="1" t="s">
        <v>93</v>
      </c>
      <c r="B73" s="4">
        <v>8812.56967123289</v>
      </c>
      <c r="C73" s="4">
        <v>12634.0552987829</v>
      </c>
      <c r="E73" s="5"/>
    </row>
    <row r="74" spans="1:5">
      <c r="A74" s="1" t="s">
        <v>94</v>
      </c>
      <c r="B74" s="4">
        <v>8770.13463325754</v>
      </c>
      <c r="C74" s="4">
        <v>12567.4784537274</v>
      </c>
      <c r="E74" s="5"/>
    </row>
    <row r="75" spans="1:5">
      <c r="A75" s="1" t="s">
        <v>95</v>
      </c>
      <c r="B75" s="4">
        <v>8896.31957157679</v>
      </c>
      <c r="C75" s="4">
        <v>12756.2378190385</v>
      </c>
      <c r="E75" s="5"/>
    </row>
    <row r="76" spans="1:5">
      <c r="A76" s="1" t="s">
        <v>96</v>
      </c>
      <c r="B76" s="4">
        <v>8932.98579516266</v>
      </c>
      <c r="C76" s="4">
        <v>12788.6928505025</v>
      </c>
      <c r="E76" s="5"/>
    </row>
    <row r="77" spans="1:5">
      <c r="A77" s="1" t="s">
        <v>97</v>
      </c>
      <c r="B77" s="4">
        <v>8926.1156676145</v>
      </c>
      <c r="C77" s="4">
        <v>12762.4532510279</v>
      </c>
      <c r="E77" s="5"/>
    </row>
    <row r="78" spans="1:5">
      <c r="A78" s="1" t="s">
        <v>98</v>
      </c>
      <c r="B78" s="4">
        <v>8953.52056482342</v>
      </c>
      <c r="C78" s="4">
        <v>12795.5799399017</v>
      </c>
      <c r="E78" s="5"/>
    </row>
    <row r="79" spans="1:5">
      <c r="A79" s="1" t="s">
        <v>99</v>
      </c>
      <c r="B79" s="4">
        <v>9029.46076755827</v>
      </c>
      <c r="C79" s="4">
        <v>12906.9292629309</v>
      </c>
      <c r="E79" s="5"/>
    </row>
    <row r="80" spans="1:5">
      <c r="A80" s="1" t="s">
        <v>100</v>
      </c>
      <c r="B80" s="4">
        <v>9050.79959952951</v>
      </c>
      <c r="C80" s="4">
        <v>12881.24774947</v>
      </c>
      <c r="E80" s="5"/>
    </row>
    <row r="81" spans="1:5">
      <c r="A81" s="1" t="s">
        <v>101</v>
      </c>
      <c r="B81" s="4">
        <v>9099.73423029152</v>
      </c>
      <c r="C81" s="4">
        <v>12946.3794641265</v>
      </c>
      <c r="E81" s="5"/>
    </row>
    <row r="82" spans="1:5">
      <c r="A82" s="1" t="s">
        <v>102</v>
      </c>
      <c r="B82" s="4">
        <v>9212.75717017142</v>
      </c>
      <c r="C82" s="4">
        <v>13121.3386382807</v>
      </c>
      <c r="E82" s="5"/>
    </row>
    <row r="83" spans="1:5">
      <c r="A83" s="1" t="s">
        <v>103</v>
      </c>
      <c r="B83" s="4">
        <v>9264.28731194847</v>
      </c>
      <c r="C83" s="4">
        <v>13162.2249000201</v>
      </c>
      <c r="E83" s="5"/>
    </row>
    <row r="84" spans="1:5">
      <c r="A84" s="1" t="s">
        <v>104</v>
      </c>
      <c r="B84" s="4">
        <v>9306.25126025482</v>
      </c>
      <c r="C84" s="4">
        <v>13217.677723367</v>
      </c>
      <c r="E84" s="5"/>
    </row>
    <row r="85" spans="1:5">
      <c r="A85" s="1" t="s">
        <v>105</v>
      </c>
      <c r="B85" s="4">
        <v>9311.4344277881</v>
      </c>
      <c r="C85" s="4">
        <v>13195.7704379653</v>
      </c>
      <c r="E85" s="5"/>
    </row>
    <row r="86" spans="1:5">
      <c r="A86" s="1" t="s">
        <v>106</v>
      </c>
      <c r="B86" s="4">
        <v>9358.6272811873</v>
      </c>
      <c r="C86" s="4">
        <v>13224.9457867507</v>
      </c>
      <c r="E86" s="5"/>
    </row>
    <row r="87" spans="1:5">
      <c r="A87" s="1" t="s">
        <v>107</v>
      </c>
      <c r="B87" s="4">
        <v>9410.56795952121</v>
      </c>
      <c r="C87" s="4">
        <v>13326.9449011984</v>
      </c>
      <c r="E87" s="5"/>
    </row>
    <row r="88" spans="1:5">
      <c r="A88" s="1" t="s">
        <v>108</v>
      </c>
      <c r="B88" s="4">
        <v>9465.85075928954</v>
      </c>
      <c r="C88" s="4">
        <v>13395.6038143141</v>
      </c>
      <c r="E88" s="5"/>
    </row>
    <row r="89" spans="1:5">
      <c r="A89" s="1" t="s">
        <v>109</v>
      </c>
      <c r="B89" s="4">
        <v>9494.97286520948</v>
      </c>
      <c r="C89" s="4">
        <v>13394.916893023</v>
      </c>
      <c r="E89" s="5"/>
    </row>
    <row r="90" spans="1:5">
      <c r="A90" s="1" t="s">
        <v>110</v>
      </c>
      <c r="B90" s="4">
        <v>9538.21345810621</v>
      </c>
      <c r="C90" s="4">
        <v>13444.8243672225</v>
      </c>
      <c r="E90" s="5"/>
    </row>
    <row r="91" spans="1:5">
      <c r="A91" s="1" t="s">
        <v>111</v>
      </c>
      <c r="B91" s="4">
        <v>9545.44367668964</v>
      </c>
      <c r="C91" s="4">
        <v>13441.3098433696</v>
      </c>
      <c r="E91" s="5"/>
    </row>
    <row r="92" spans="1:5">
      <c r="A92" s="1" t="s">
        <v>112</v>
      </c>
      <c r="B92" s="4">
        <v>9662.55147310179</v>
      </c>
      <c r="C92" s="4">
        <v>13567.220056952</v>
      </c>
      <c r="E92" s="5"/>
    </row>
    <row r="93" spans="1:5">
      <c r="A93" s="1" t="s">
        <v>113</v>
      </c>
      <c r="B93" s="4">
        <v>9662.81650986005</v>
      </c>
      <c r="C93" s="4">
        <v>13604.7555306226</v>
      </c>
      <c r="E93" s="5"/>
    </row>
    <row r="94" spans="1:5">
      <c r="A94" s="1" t="s">
        <v>114</v>
      </c>
      <c r="B94" s="4">
        <v>9734.5100170376</v>
      </c>
      <c r="C94" s="4">
        <v>13643.1010759013</v>
      </c>
      <c r="E94" s="5"/>
    </row>
    <row r="95" spans="1:5">
      <c r="A95" s="1" t="s">
        <v>115</v>
      </c>
      <c r="B95" s="4">
        <v>9822.70806916071</v>
      </c>
      <c r="C95" s="4">
        <v>13724.8140458081</v>
      </c>
      <c r="E95" s="5"/>
    </row>
    <row r="96" spans="1:5">
      <c r="A96" s="1" t="s">
        <v>116</v>
      </c>
      <c r="B96" s="4">
        <v>9888.45937493851</v>
      </c>
      <c r="C96" s="4">
        <v>13808.8117411239</v>
      </c>
      <c r="E96" s="5"/>
    </row>
    <row r="97" spans="1:5">
      <c r="A97" s="1" t="s">
        <v>117</v>
      </c>
      <c r="B97" s="4">
        <v>9989.33955590937</v>
      </c>
      <c r="C97" s="4">
        <v>13950.7398149087</v>
      </c>
      <c r="E97" s="5"/>
    </row>
    <row r="98" spans="1:5">
      <c r="A98" s="1" t="s">
        <v>118</v>
      </c>
      <c r="B98" s="4">
        <v>9924.95197253006</v>
      </c>
      <c r="C98" s="4">
        <v>13813.3732478615</v>
      </c>
      <c r="E98" s="5"/>
    </row>
    <row r="99" spans="1:5">
      <c r="A99" s="1" t="s">
        <v>119</v>
      </c>
      <c r="B99" s="4">
        <v>9994.17030058068</v>
      </c>
      <c r="C99" s="4">
        <v>13869.865161648</v>
      </c>
      <c r="E99" s="5"/>
    </row>
    <row r="100" spans="1:5">
      <c r="A100" s="1" t="s">
        <v>120</v>
      </c>
      <c r="B100" s="4">
        <v>10087.4147269008</v>
      </c>
      <c r="C100" s="4">
        <v>13951.7316164793</v>
      </c>
      <c r="E100" s="5"/>
    </row>
    <row r="101" spans="1:5">
      <c r="A101" s="1" t="s">
        <v>121</v>
      </c>
      <c r="B101" s="4">
        <v>10225.6677292063</v>
      </c>
      <c r="C101" s="4">
        <v>14134.3745110539</v>
      </c>
      <c r="E101" s="5"/>
    </row>
    <row r="102" spans="1:5">
      <c r="A102" s="1" t="s">
        <v>122</v>
      </c>
      <c r="B102" s="4">
        <v>10233.2221778284</v>
      </c>
      <c r="C102" s="4">
        <v>14115.1861327959</v>
      </c>
      <c r="E102" s="5"/>
    </row>
    <row r="103" spans="1:5">
      <c r="A103" s="1" t="s">
        <v>123</v>
      </c>
      <c r="B103" s="4">
        <v>10284.2700929648</v>
      </c>
      <c r="C103" s="4">
        <v>14143.5765250806</v>
      </c>
      <c r="E103" s="5"/>
    </row>
    <row r="104" spans="1:5">
      <c r="A104" s="1" t="s">
        <v>124</v>
      </c>
      <c r="B104" s="4">
        <v>10235.6000947671</v>
      </c>
      <c r="C104" s="4">
        <v>14058.6685167416</v>
      </c>
      <c r="E104" s="5"/>
    </row>
    <row r="105" spans="1:5">
      <c r="A105" s="1" t="s">
        <v>125</v>
      </c>
      <c r="B105" s="4">
        <v>10336.1934279027</v>
      </c>
      <c r="C105" s="4">
        <v>14171.626027015</v>
      </c>
      <c r="E105" s="5"/>
    </row>
    <row r="106" spans="1:5">
      <c r="A106" s="1" t="s">
        <v>126</v>
      </c>
      <c r="B106" s="4">
        <v>10382.7014773249</v>
      </c>
      <c r="C106" s="4">
        <v>14205.9701305629</v>
      </c>
      <c r="E106" s="5"/>
    </row>
    <row r="107" spans="1:5">
      <c r="A107" s="1" t="s">
        <v>127</v>
      </c>
      <c r="B107" s="4">
        <v>10435.2794470746</v>
      </c>
      <c r="C107" s="4">
        <v>14247.3501887059</v>
      </c>
      <c r="E107" s="5"/>
    </row>
    <row r="108" spans="1:5">
      <c r="A108" s="1" t="s">
        <v>128</v>
      </c>
      <c r="B108" s="4">
        <v>10445.7466797914</v>
      </c>
      <c r="C108" s="4">
        <v>14232.9749193198</v>
      </c>
      <c r="E108" s="5"/>
    </row>
    <row r="109" spans="1:5">
      <c r="A109" s="1" t="s">
        <v>129</v>
      </c>
      <c r="B109" s="4">
        <v>10426.2058731461</v>
      </c>
      <c r="C109" s="4">
        <v>14209.983637779</v>
      </c>
      <c r="E109" s="5"/>
    </row>
    <row r="110" spans="1:5">
      <c r="A110" s="1" t="s">
        <v>130</v>
      </c>
      <c r="B110" s="4">
        <v>10468.6864232112</v>
      </c>
      <c r="C110" s="4">
        <v>14215.832186368</v>
      </c>
      <c r="E110" s="5"/>
    </row>
    <row r="111" spans="1:5">
      <c r="A111" s="1" t="s">
        <v>131</v>
      </c>
      <c r="B111" s="4">
        <v>10462.965892602</v>
      </c>
      <c r="C111" s="4">
        <v>14185.2204488106</v>
      </c>
      <c r="E111" s="5"/>
    </row>
    <row r="112" spans="1:5">
      <c r="A112" s="1" t="s">
        <v>132</v>
      </c>
      <c r="B112" s="4">
        <v>10479.0406841937</v>
      </c>
      <c r="C112" s="4">
        <v>14149.8096126806</v>
      </c>
      <c r="E112" s="5"/>
    </row>
    <row r="113" spans="1:5">
      <c r="A113" s="1" t="s">
        <v>133</v>
      </c>
      <c r="B113" s="4">
        <v>10566.0076902674</v>
      </c>
      <c r="C113" s="4">
        <v>14260.7606099639</v>
      </c>
      <c r="E113" s="5"/>
    </row>
    <row r="114" spans="1:5">
      <c r="A114" s="1" t="s">
        <v>134</v>
      </c>
      <c r="B114" s="4">
        <v>10639.1027453303</v>
      </c>
      <c r="C114" s="4">
        <v>14326.8106424079</v>
      </c>
      <c r="E114" s="5"/>
    </row>
    <row r="115" spans="1:5">
      <c r="A115" s="1" t="s">
        <v>135</v>
      </c>
      <c r="B115" s="4">
        <v>10591.8895643939</v>
      </c>
      <c r="C115" s="4">
        <v>14229.1417903584</v>
      </c>
      <c r="E115" s="5"/>
    </row>
    <row r="116" spans="1:5">
      <c r="A116" s="1" t="s">
        <v>136</v>
      </c>
      <c r="B116" s="4">
        <v>10585.3661156007</v>
      </c>
      <c r="C116" s="4">
        <v>14183.7063895346</v>
      </c>
      <c r="E116" s="5"/>
    </row>
    <row r="117" spans="1:5">
      <c r="A117" s="1" t="s">
        <v>137</v>
      </c>
      <c r="B117" s="4">
        <v>10698.9762438134</v>
      </c>
      <c r="C117" s="4">
        <v>14346.9184484328</v>
      </c>
      <c r="E117" s="5"/>
    </row>
    <row r="118" spans="1:5">
      <c r="A118" s="1" t="s">
        <v>138</v>
      </c>
      <c r="B118" s="4">
        <v>10509.7176405748</v>
      </c>
      <c r="C118" s="4">
        <v>14114.4539243639</v>
      </c>
      <c r="E118" s="5"/>
    </row>
    <row r="119" spans="1:5">
      <c r="A119" s="1" t="s">
        <v>139</v>
      </c>
      <c r="B119" s="4">
        <v>10640.8415249624</v>
      </c>
      <c r="C119" s="4">
        <v>14236.553551714</v>
      </c>
      <c r="E119" s="5"/>
    </row>
    <row r="120" spans="1:5">
      <c r="A120" s="1" t="s">
        <v>140</v>
      </c>
      <c r="B120" s="4">
        <v>10588.6470307598</v>
      </c>
      <c r="C120" s="4">
        <v>14160.6986357005</v>
      </c>
      <c r="E120" s="5"/>
    </row>
    <row r="121" spans="1:5">
      <c r="A121" s="1" t="s">
        <v>141</v>
      </c>
      <c r="B121" s="4">
        <v>10751.9064442844</v>
      </c>
      <c r="C121" s="4">
        <v>14365.2974071445</v>
      </c>
      <c r="E121" s="5"/>
    </row>
    <row r="122" spans="1:5">
      <c r="A122" s="1" t="s">
        <v>142</v>
      </c>
      <c r="B122" s="4">
        <v>10785.8134162639</v>
      </c>
      <c r="C122" s="4">
        <v>14407.2497489031</v>
      </c>
      <c r="E122" s="5"/>
    </row>
    <row r="123" spans="1:5">
      <c r="A123" s="1" t="s">
        <v>143</v>
      </c>
      <c r="B123" s="4">
        <v>10749.0359746977</v>
      </c>
      <c r="C123" s="4">
        <v>14322.9188750982</v>
      </c>
      <c r="E123" s="5"/>
    </row>
    <row r="124" spans="1:5">
      <c r="A124" s="1" t="s">
        <v>144</v>
      </c>
      <c r="B124" s="4">
        <v>10815.6506090247</v>
      </c>
      <c r="C124" s="4">
        <v>14390.0805015766</v>
      </c>
      <c r="E124" s="5"/>
    </row>
    <row r="125" spans="1:5">
      <c r="A125" s="1" t="s">
        <v>145</v>
      </c>
      <c r="B125" s="4">
        <v>10857.762389613</v>
      </c>
      <c r="C125" s="4">
        <v>14443.9481795428</v>
      </c>
      <c r="E125" s="5"/>
    </row>
    <row r="126" spans="1:5">
      <c r="A126" s="1" t="s">
        <v>146</v>
      </c>
      <c r="B126" s="4">
        <v>10870.0851941414</v>
      </c>
      <c r="C126" s="4">
        <v>14442.5500513967</v>
      </c>
      <c r="E126" s="5"/>
    </row>
    <row r="127" spans="1:5">
      <c r="A127" s="1" t="s">
        <v>147</v>
      </c>
      <c r="B127" s="4">
        <v>10934.5324162365</v>
      </c>
      <c r="C127" s="4">
        <v>14497.9146767656</v>
      </c>
      <c r="E127" s="5"/>
    </row>
    <row r="128" spans="1:5">
      <c r="A128" s="1" t="s">
        <v>148</v>
      </c>
      <c r="B128" s="4">
        <v>11001.5655122497</v>
      </c>
      <c r="C128" s="4">
        <v>14574.9400894015</v>
      </c>
      <c r="E128" s="5"/>
    </row>
    <row r="129" spans="1:5">
      <c r="A129" s="1" t="s">
        <v>149</v>
      </c>
      <c r="B129" s="4">
        <v>10952.7172537602</v>
      </c>
      <c r="C129" s="4">
        <v>14491.9705380724</v>
      </c>
      <c r="E129" s="5"/>
    </row>
    <row r="130" spans="1:5">
      <c r="A130" s="1" t="s">
        <v>150</v>
      </c>
      <c r="B130" s="4">
        <v>10997.8372339819</v>
      </c>
      <c r="C130" s="4">
        <v>14493.6122894352</v>
      </c>
      <c r="E130" s="5"/>
    </row>
    <row r="131" spans="1:5">
      <c r="A131" s="1" t="s">
        <v>151</v>
      </c>
      <c r="B131" s="4">
        <v>10998.6019010748</v>
      </c>
      <c r="C131" s="4">
        <v>14480.4474298735</v>
      </c>
      <c r="E131" s="5"/>
    </row>
    <row r="132" spans="1:5">
      <c r="A132" s="1" t="s">
        <v>152</v>
      </c>
      <c r="B132" s="4">
        <v>11052.380073214</v>
      </c>
      <c r="C132" s="4">
        <v>14522.5683745668</v>
      </c>
      <c r="E132" s="5"/>
    </row>
    <row r="133" spans="1:5">
      <c r="A133" s="1" t="s">
        <v>153</v>
      </c>
      <c r="B133" s="4">
        <v>11133.3170257027</v>
      </c>
      <c r="C133" s="4">
        <v>14611.1106895258</v>
      </c>
      <c r="E133" s="5"/>
    </row>
    <row r="134" spans="1:5">
      <c r="A134" s="1" t="s">
        <v>154</v>
      </c>
      <c r="B134" s="4">
        <v>11135.2296845055</v>
      </c>
      <c r="C134" s="4">
        <v>14595.1521008208</v>
      </c>
      <c r="E134" s="5"/>
    </row>
    <row r="135" spans="1:5">
      <c r="A135" s="1" t="s">
        <v>155</v>
      </c>
      <c r="B135" s="4">
        <v>11210.9292446074</v>
      </c>
      <c r="C135" s="4">
        <v>14653.2119820007</v>
      </c>
      <c r="E135" s="5"/>
    </row>
    <row r="136" spans="1:5">
      <c r="A136" s="1" t="s">
        <v>156</v>
      </c>
      <c r="B136" s="4">
        <v>11176.2280708838</v>
      </c>
      <c r="C136" s="4">
        <v>14595.660051453</v>
      </c>
      <c r="E136" s="5"/>
    </row>
    <row r="137" spans="1:5">
      <c r="A137" s="1" t="s">
        <v>157</v>
      </c>
      <c r="B137" s="4">
        <v>11258.3888176324</v>
      </c>
      <c r="C137" s="4">
        <v>14675.3382668363</v>
      </c>
      <c r="E137" s="5"/>
    </row>
    <row r="138" spans="1:5">
      <c r="A138" s="1" t="s">
        <v>158</v>
      </c>
      <c r="B138" s="4">
        <v>11275.1788826883</v>
      </c>
      <c r="C138" s="4">
        <v>14690.1305540646</v>
      </c>
      <c r="E138" s="5"/>
    </row>
    <row r="139" spans="1:5">
      <c r="A139" s="1" t="s">
        <v>159</v>
      </c>
      <c r="B139" s="4">
        <v>11404.7302997235</v>
      </c>
      <c r="C139" s="4">
        <v>14867.2045886754</v>
      </c>
      <c r="E139" s="5"/>
    </row>
    <row r="140" spans="1:5">
      <c r="A140" s="1" t="s">
        <v>160</v>
      </c>
      <c r="B140" s="4">
        <v>11469.3566883481</v>
      </c>
      <c r="C140" s="4">
        <v>14911.266557954</v>
      </c>
      <c r="E140" s="5"/>
    </row>
    <row r="141" spans="1:5">
      <c r="A141" s="1" t="s">
        <v>161</v>
      </c>
      <c r="B141" s="4">
        <v>11565.7600985514</v>
      </c>
      <c r="C141" s="4">
        <v>14983.0223865822</v>
      </c>
      <c r="E141" s="5"/>
    </row>
    <row r="142" spans="1:5">
      <c r="A142" s="1" t="s">
        <v>162</v>
      </c>
      <c r="B142" s="4">
        <v>11664.8902131429</v>
      </c>
      <c r="C142" s="4">
        <v>15074.1046911861</v>
      </c>
      <c r="E142" s="5"/>
    </row>
    <row r="143" spans="1:5">
      <c r="A143" s="1" t="s">
        <v>163</v>
      </c>
      <c r="B143" s="4">
        <v>11700.0851945474</v>
      </c>
      <c r="C143" s="4">
        <v>15093.5295046327</v>
      </c>
      <c r="E143" s="5"/>
    </row>
    <row r="144" spans="1:5">
      <c r="A144" s="1" t="s">
        <v>164</v>
      </c>
      <c r="B144" s="4">
        <v>11785.6512920602</v>
      </c>
      <c r="C144" s="4">
        <v>15181.3887006787</v>
      </c>
      <c r="E144" s="5"/>
    </row>
    <row r="145" spans="1:5">
      <c r="A145" s="1" t="s">
        <v>165</v>
      </c>
      <c r="B145" s="4">
        <v>11830.965513415</v>
      </c>
      <c r="C145" s="4">
        <v>15215.355828001</v>
      </c>
      <c r="E145" s="5"/>
    </row>
    <row r="146" spans="1:5">
      <c r="A146" s="1" t="s">
        <v>166</v>
      </c>
      <c r="B146" s="4">
        <v>11805.7568032126</v>
      </c>
      <c r="C146" s="4">
        <v>15134.0796765904</v>
      </c>
      <c r="E146" s="5"/>
    </row>
    <row r="147" spans="1:5">
      <c r="A147" s="1" t="s">
        <v>167</v>
      </c>
      <c r="B147" s="4">
        <v>11927.3019467082</v>
      </c>
      <c r="C147" s="4">
        <v>15259.4585563442</v>
      </c>
      <c r="E147" s="5"/>
    </row>
    <row r="148" spans="1:5">
      <c r="A148" s="1" t="s">
        <v>168</v>
      </c>
      <c r="B148" s="4">
        <v>12037.2822501063</v>
      </c>
      <c r="C148" s="4">
        <v>15354.5052446553</v>
      </c>
      <c r="E148" s="5"/>
    </row>
    <row r="149" spans="1:5">
      <c r="A149" s="1" t="s">
        <v>169</v>
      </c>
      <c r="B149" s="4">
        <v>12036.0164404024</v>
      </c>
      <c r="C149" s="4">
        <v>15311.1613159141</v>
      </c>
      <c r="E149" s="5"/>
    </row>
    <row r="150" spans="1:5">
      <c r="A150" s="1" t="s">
        <v>170</v>
      </c>
      <c r="B150" s="4">
        <v>12174.9995499076</v>
      </c>
      <c r="C150" s="4">
        <v>15445.5135362244</v>
      </c>
      <c r="E150" s="5"/>
    </row>
    <row r="151" spans="1:5">
      <c r="A151" s="1" t="s">
        <v>171</v>
      </c>
      <c r="B151" s="4">
        <v>12127.4290097546</v>
      </c>
      <c r="C151" s="4">
        <v>15345.966152371</v>
      </c>
      <c r="E151" s="5"/>
    </row>
    <row r="152" spans="1:5">
      <c r="A152" s="1" t="s">
        <v>172</v>
      </c>
      <c r="B152" s="4">
        <v>12279.8882683174</v>
      </c>
      <c r="C152" s="4">
        <v>15483.8606412086</v>
      </c>
      <c r="E152" s="5"/>
    </row>
    <row r="153" spans="1:5">
      <c r="A153" s="1" t="s">
        <v>173</v>
      </c>
      <c r="B153" s="4">
        <v>12301.589131765</v>
      </c>
      <c r="C153" s="4">
        <v>15522.0052915943</v>
      </c>
      <c r="E153" s="5"/>
    </row>
    <row r="154" spans="1:5">
      <c r="A154" s="1" t="s">
        <v>174</v>
      </c>
      <c r="B154" s="4">
        <v>12334.4435998596</v>
      </c>
      <c r="C154" s="4">
        <v>15534.1173965229</v>
      </c>
      <c r="E154" s="5"/>
    </row>
    <row r="155" spans="1:5">
      <c r="A155" s="1" t="s">
        <v>175</v>
      </c>
      <c r="B155" s="4">
        <v>12471.1153085072</v>
      </c>
      <c r="C155" s="4">
        <v>15653.0147214636</v>
      </c>
      <c r="E155" s="5"/>
    </row>
    <row r="156" spans="1:5">
      <c r="A156" s="1" t="s">
        <v>176</v>
      </c>
      <c r="B156" s="4">
        <v>12514.9814786876</v>
      </c>
      <c r="C156" s="4">
        <v>15649.6982713041</v>
      </c>
      <c r="E156" s="5"/>
    </row>
    <row r="157" spans="1:5">
      <c r="A157" s="1" t="s">
        <v>177</v>
      </c>
      <c r="B157" s="4">
        <v>12595.5452127905</v>
      </c>
      <c r="C157" s="4">
        <v>15712.0512025451</v>
      </c>
      <c r="E157" s="5"/>
    </row>
    <row r="158" spans="1:5">
      <c r="A158" s="1" t="s">
        <v>178</v>
      </c>
      <c r="B158" s="4">
        <v>12747.8416397815</v>
      </c>
      <c r="C158" s="4">
        <v>15854.6301590833</v>
      </c>
      <c r="E158" s="5"/>
    </row>
    <row r="159" spans="1:5">
      <c r="A159" s="1" t="s">
        <v>179</v>
      </c>
      <c r="B159" s="4">
        <v>12752.0672976485</v>
      </c>
      <c r="C159" s="4">
        <v>15827.3185029828</v>
      </c>
      <c r="E159" s="5"/>
    </row>
    <row r="160" spans="1:5">
      <c r="A160" s="1" t="s">
        <v>180</v>
      </c>
      <c r="B160" s="4">
        <v>12801.9490625205</v>
      </c>
      <c r="C160" s="4">
        <v>15854.3923932036</v>
      </c>
      <c r="E160" s="5"/>
    </row>
    <row r="161" spans="1:5">
      <c r="A161" s="1" t="s">
        <v>181</v>
      </c>
      <c r="B161" s="4">
        <v>12858.8888011797</v>
      </c>
      <c r="C161" s="4">
        <v>15896.0237489103</v>
      </c>
      <c r="E161" s="5"/>
    </row>
    <row r="162" spans="1:5">
      <c r="A162" s="1" t="s">
        <v>182</v>
      </c>
      <c r="B162" s="4">
        <v>12881.9782592345</v>
      </c>
      <c r="C162" s="4">
        <v>15863.4744525137</v>
      </c>
      <c r="E162" s="5"/>
    </row>
    <row r="163" spans="1:5">
      <c r="A163" s="1" t="s">
        <v>183</v>
      </c>
      <c r="B163" s="4">
        <v>13027.1009395304</v>
      </c>
      <c r="C163" s="4">
        <v>16010.9069646361</v>
      </c>
      <c r="E163" s="5"/>
    </row>
    <row r="164" spans="1:5">
      <c r="A164" s="1" t="s">
        <v>184</v>
      </c>
      <c r="B164" s="4">
        <v>13095.7929648982</v>
      </c>
      <c r="C164" s="4">
        <v>16037.0855607179</v>
      </c>
      <c r="E164" s="5"/>
    </row>
    <row r="165" spans="1:5">
      <c r="A165" s="1" t="s">
        <v>185</v>
      </c>
      <c r="B165" s="4">
        <v>13152.6456795621</v>
      </c>
      <c r="C165" s="4">
        <v>16077.4626037622</v>
      </c>
      <c r="E165" s="5"/>
    </row>
    <row r="166" spans="1:5">
      <c r="A166" s="1" t="s">
        <v>186</v>
      </c>
      <c r="B166" s="4">
        <v>13179.4873555429</v>
      </c>
      <c r="C166" s="4">
        <v>16030.3165296338</v>
      </c>
      <c r="E166" s="5"/>
    </row>
    <row r="167" spans="1:5">
      <c r="A167" s="1" t="s">
        <v>187</v>
      </c>
      <c r="B167" s="4">
        <v>13235.0954464589</v>
      </c>
      <c r="C167" s="4">
        <v>16063.9539141875</v>
      </c>
      <c r="E167" s="5"/>
    </row>
    <row r="168" spans="1:5">
      <c r="A168" s="1" t="s">
        <v>188</v>
      </c>
      <c r="B168" s="4">
        <v>13299.8509225572</v>
      </c>
      <c r="C168" s="4">
        <v>16112.4270315459</v>
      </c>
      <c r="E168" s="5"/>
    </row>
    <row r="169" spans="1:5">
      <c r="A169" s="1" t="s">
        <v>189</v>
      </c>
      <c r="B169" s="4">
        <v>13437.6656308828</v>
      </c>
      <c r="C169" s="4">
        <v>16235.890910541</v>
      </c>
      <c r="E169" s="5"/>
    </row>
    <row r="170" spans="1:5">
      <c r="A170" s="1" t="s">
        <v>190</v>
      </c>
      <c r="B170" s="4">
        <v>13517.3852123665</v>
      </c>
      <c r="C170" s="4">
        <v>16315.3094532767</v>
      </c>
      <c r="E170" s="5"/>
    </row>
    <row r="171" spans="1:5">
      <c r="A171" s="1" t="s">
        <v>191</v>
      </c>
      <c r="B171" s="4">
        <v>13569.5367849304</v>
      </c>
      <c r="C171" s="4">
        <v>16308.0137457737</v>
      </c>
      <c r="E171" s="5"/>
    </row>
    <row r="172" spans="1:5">
      <c r="A172" s="1" t="s">
        <v>192</v>
      </c>
      <c r="B172" s="4">
        <v>13710.5580027473</v>
      </c>
      <c r="C172" s="4">
        <v>16440.2012817042</v>
      </c>
      <c r="E172" s="5"/>
    </row>
    <row r="173" spans="1:5">
      <c r="A173" s="1" t="s">
        <v>193</v>
      </c>
      <c r="B173" s="4">
        <v>13696.4347852329</v>
      </c>
      <c r="C173" s="4">
        <v>16371.7999560112</v>
      </c>
      <c r="E173" s="5"/>
    </row>
    <row r="174" spans="1:5">
      <c r="A174" s="1" t="s">
        <v>194</v>
      </c>
      <c r="B174" s="4">
        <v>13781.5640058922</v>
      </c>
      <c r="C174" s="4">
        <v>16415.6523251343</v>
      </c>
      <c r="E174" s="5"/>
    </row>
    <row r="175" spans="1:5">
      <c r="A175" s="1" t="s">
        <v>195</v>
      </c>
      <c r="B175" s="4">
        <v>13782.2732088813</v>
      </c>
      <c r="C175" s="4">
        <v>16403.1384671556</v>
      </c>
      <c r="E175" s="5"/>
    </row>
    <row r="176" spans="1:5">
      <c r="A176" s="1" t="s">
        <v>196</v>
      </c>
      <c r="B176" s="4">
        <v>13792.9099589379</v>
      </c>
      <c r="C176" s="4">
        <v>16367.825051326</v>
      </c>
      <c r="E176" s="5"/>
    </row>
    <row r="177" spans="1:5">
      <c r="A177" s="1" t="s">
        <v>197</v>
      </c>
      <c r="B177" s="4">
        <v>13884.3164338656</v>
      </c>
      <c r="C177" s="4">
        <v>16420.438126765</v>
      </c>
      <c r="E177" s="5"/>
    </row>
    <row r="178" spans="1:5">
      <c r="A178" s="1" t="s">
        <v>198</v>
      </c>
      <c r="B178" s="4">
        <v>13933.3376072111</v>
      </c>
      <c r="C178" s="4">
        <v>16476.200600843</v>
      </c>
      <c r="E178" s="5"/>
    </row>
    <row r="179" spans="1:5">
      <c r="A179" s="1" t="s">
        <v>199</v>
      </c>
      <c r="B179" s="4">
        <v>13966.3591056073</v>
      </c>
      <c r="C179" s="4">
        <v>16488.6875009518</v>
      </c>
      <c r="E179" s="5"/>
    </row>
    <row r="180" spans="1:5">
      <c r="A180" s="1" t="s">
        <v>200</v>
      </c>
      <c r="B180" s="4">
        <v>14060.0723405061</v>
      </c>
      <c r="C180" s="4">
        <v>16601.5681713437</v>
      </c>
      <c r="E180" s="5"/>
    </row>
    <row r="181" spans="1:5">
      <c r="A181" s="1" t="s">
        <v>201</v>
      </c>
      <c r="B181" s="4">
        <v>14092.2485539661</v>
      </c>
      <c r="C181" s="4">
        <v>16597.6102137818</v>
      </c>
      <c r="E181" s="5"/>
    </row>
    <row r="182" spans="1:5">
      <c r="A182" s="1" t="s">
        <v>202</v>
      </c>
      <c r="B182" s="4">
        <v>14135.6507276479</v>
      </c>
      <c r="C182" s="4">
        <v>16580.2699802458</v>
      </c>
      <c r="E182" s="5"/>
    </row>
    <row r="183" spans="1:5">
      <c r="A183" s="1" t="s">
        <v>203</v>
      </c>
      <c r="B183" s="4">
        <v>14289.281079354</v>
      </c>
      <c r="C183" s="4">
        <v>16684.0780559324</v>
      </c>
      <c r="E183" s="5"/>
    </row>
    <row r="184" spans="1:5">
      <c r="A184" s="1" t="s">
        <v>204</v>
      </c>
      <c r="B184" s="4">
        <v>14222.0211930542</v>
      </c>
      <c r="C184" s="4">
        <v>16572.8738206354</v>
      </c>
      <c r="E184" s="5"/>
    </row>
    <row r="185" spans="1:5">
      <c r="A185" s="1" t="s">
        <v>205</v>
      </c>
      <c r="B185" s="4">
        <v>14360.8428267002</v>
      </c>
      <c r="C185" s="4">
        <v>16709.2054899809</v>
      </c>
      <c r="E185" s="5"/>
    </row>
    <row r="186" spans="1:5">
      <c r="A186" s="1" t="s">
        <v>206</v>
      </c>
      <c r="B186" s="4">
        <v>14402.4702198817</v>
      </c>
      <c r="C186" s="4">
        <v>16703.4594585462</v>
      </c>
      <c r="E186" s="5"/>
    </row>
    <row r="187" spans="1:5">
      <c r="A187" s="1" t="s">
        <v>207</v>
      </c>
      <c r="B187" s="4">
        <v>14442.9329534774</v>
      </c>
      <c r="C187" s="4">
        <v>16729.1662936956</v>
      </c>
      <c r="E187" s="5"/>
    </row>
    <row r="188" spans="1:5">
      <c r="A188" s="1" t="s">
        <v>208</v>
      </c>
      <c r="B188" s="4">
        <v>14426.5630123833</v>
      </c>
      <c r="C188" s="4">
        <v>16673.9988137326</v>
      </c>
      <c r="E188" s="5"/>
    </row>
    <row r="189" spans="1:5">
      <c r="A189" s="1" t="s">
        <v>209</v>
      </c>
      <c r="B189" s="4">
        <v>14597.8993810107</v>
      </c>
      <c r="C189" s="4">
        <v>16863.527380302</v>
      </c>
      <c r="E189" s="5"/>
    </row>
    <row r="190" spans="1:5">
      <c r="A190" s="1" t="s">
        <v>210</v>
      </c>
      <c r="B190" s="4">
        <v>14667.8886066231</v>
      </c>
      <c r="C190" s="4">
        <v>16893.0278663408</v>
      </c>
      <c r="E190" s="5"/>
    </row>
    <row r="191" spans="1:5">
      <c r="A191" s="1" t="s">
        <v>211</v>
      </c>
      <c r="B191" s="4">
        <v>14661.4982780486</v>
      </c>
      <c r="C191" s="4">
        <v>16875.5681166279</v>
      </c>
      <c r="E191" s="5"/>
    </row>
    <row r="192" spans="1:5">
      <c r="A192" s="1" t="s">
        <v>212</v>
      </c>
      <c r="B192" s="4">
        <v>14717.1751739422</v>
      </c>
      <c r="C192" s="4">
        <v>16900.4150376239</v>
      </c>
      <c r="E192" s="5"/>
    </row>
    <row r="193" spans="1:5">
      <c r="A193" s="1" t="s">
        <v>213</v>
      </c>
      <c r="B193" s="4">
        <v>14766.5005479894</v>
      </c>
      <c r="C193" s="4">
        <v>16971.3495653739</v>
      </c>
      <c r="E193" s="5"/>
    </row>
    <row r="194" spans="1:5">
      <c r="A194" s="1" t="s">
        <v>214</v>
      </c>
      <c r="B194" s="4">
        <v>14805.7885475187</v>
      </c>
      <c r="C194" s="4">
        <v>16995.2975312033</v>
      </c>
      <c r="E194" s="5"/>
    </row>
    <row r="195" spans="1:5">
      <c r="A195" s="1" t="s">
        <v>215</v>
      </c>
      <c r="B195" s="4">
        <v>14626.4431943178</v>
      </c>
      <c r="C195" s="4">
        <v>16752.6467296153</v>
      </c>
      <c r="E195" s="5"/>
    </row>
    <row r="196" spans="1:5">
      <c r="A196" s="1" t="s">
        <v>216</v>
      </c>
      <c r="B196" s="4">
        <v>14687.3822581296</v>
      </c>
      <c r="C196" s="4">
        <v>16783.0337608704</v>
      </c>
      <c r="E196" s="5"/>
    </row>
    <row r="197" spans="1:5">
      <c r="A197" s="1" t="s">
        <v>217</v>
      </c>
      <c r="B197" s="4">
        <v>14752.8280832176</v>
      </c>
      <c r="C197" s="4">
        <v>16841.2193248649</v>
      </c>
      <c r="E197" s="5"/>
    </row>
    <row r="198" spans="1:5">
      <c r="A198" s="1" t="s">
        <v>218</v>
      </c>
      <c r="B198" s="4">
        <v>14802.3776124467</v>
      </c>
      <c r="C198" s="4">
        <v>16891.1692188696</v>
      </c>
      <c r="E198" s="5"/>
    </row>
    <row r="199" spans="1:5">
      <c r="A199" s="1" t="s">
        <v>219</v>
      </c>
      <c r="B199" s="4">
        <v>15041.8973042745</v>
      </c>
      <c r="C199" s="4">
        <v>17098.8323937535</v>
      </c>
      <c r="E199" s="5"/>
    </row>
    <row r="200" spans="1:5">
      <c r="A200" s="1" t="s">
        <v>220</v>
      </c>
      <c r="B200" s="4">
        <v>14969.4570000191</v>
      </c>
      <c r="C200" s="4">
        <v>16968.6874279861</v>
      </c>
      <c r="E200" s="5"/>
    </row>
    <row r="201" spans="1:5">
      <c r="A201" s="1" t="s">
        <v>221</v>
      </c>
      <c r="B201" s="4">
        <v>14923.1363477998</v>
      </c>
      <c r="C201" s="4">
        <v>16898.1469552903</v>
      </c>
      <c r="E201" s="5"/>
    </row>
    <row r="202" spans="1:5">
      <c r="A202" s="1" t="s">
        <v>222</v>
      </c>
      <c r="B202" s="4">
        <v>14804.4036522143</v>
      </c>
      <c r="C202" s="4">
        <v>16697.4957772171</v>
      </c>
      <c r="E202" s="5"/>
    </row>
    <row r="203" spans="1:5">
      <c r="A203" s="1" t="s">
        <v>223</v>
      </c>
      <c r="B203" s="4">
        <v>14696.0189633232</v>
      </c>
      <c r="C203" s="4">
        <v>16568.1672916269</v>
      </c>
      <c r="E203" s="5"/>
    </row>
    <row r="204" spans="1:5">
      <c r="A204" s="1" t="s">
        <v>224</v>
      </c>
      <c r="B204" s="4">
        <v>14697.8630604584</v>
      </c>
      <c r="C204" s="4">
        <v>16584.7424104312</v>
      </c>
      <c r="E204" s="5"/>
    </row>
    <row r="205" spans="1:5">
      <c r="A205" s="1" t="s">
        <v>225</v>
      </c>
      <c r="B205" s="4">
        <v>14430.7449761509</v>
      </c>
      <c r="C205" s="4">
        <v>16304.2086009102</v>
      </c>
      <c r="E205" s="5"/>
    </row>
    <row r="206" spans="1:5">
      <c r="A206" s="1" t="s">
        <v>226</v>
      </c>
      <c r="B206" s="4">
        <v>14478.7455187579</v>
      </c>
      <c r="C206" s="4">
        <v>16347.8186441248</v>
      </c>
      <c r="E206" s="5"/>
    </row>
    <row r="207" spans="1:5">
      <c r="A207" s="1" t="s">
        <v>227</v>
      </c>
      <c r="B207" s="4">
        <v>14444.5101148177</v>
      </c>
      <c r="C207" s="4">
        <v>16291.8783165366</v>
      </c>
      <c r="E207" s="5"/>
    </row>
    <row r="208" spans="1:5">
      <c r="A208" s="1" t="s">
        <v>228</v>
      </c>
      <c r="B208" s="4">
        <v>14369.4503663291</v>
      </c>
      <c r="C208" s="4">
        <v>16255.834617291</v>
      </c>
      <c r="E208" s="5"/>
    </row>
    <row r="209" spans="1:5">
      <c r="A209" s="1" t="s">
        <v>229</v>
      </c>
      <c r="B209" s="4">
        <v>14360.6416678002</v>
      </c>
      <c r="C209" s="4">
        <v>16254.2456627003</v>
      </c>
      <c r="E209" s="5"/>
    </row>
    <row r="210" spans="1:5">
      <c r="A210" s="1" t="s">
        <v>230</v>
      </c>
      <c r="B210" s="4">
        <v>14374.1944273387</v>
      </c>
      <c r="C210" s="4">
        <v>16274.6259858993</v>
      </c>
      <c r="E210" s="5"/>
    </row>
    <row r="211" spans="1:5">
      <c r="A211" s="1" t="s">
        <v>231</v>
      </c>
      <c r="B211" s="4">
        <v>14408.8719048257</v>
      </c>
      <c r="C211" s="4">
        <v>16279.1587650307</v>
      </c>
      <c r="E211" s="5"/>
    </row>
    <row r="212" spans="1:5">
      <c r="A212" s="1" t="s">
        <v>232</v>
      </c>
      <c r="B212" s="4">
        <v>14379.1232568454</v>
      </c>
      <c r="C212" s="4">
        <v>16264.8165121627</v>
      </c>
      <c r="E212" s="5"/>
    </row>
    <row r="213" spans="1:5">
      <c r="A213" s="1" t="s">
        <v>233</v>
      </c>
      <c r="B213" s="4">
        <v>14478.2747007447</v>
      </c>
      <c r="C213" s="4">
        <v>16346.7274217622</v>
      </c>
      <c r="E213" s="5"/>
    </row>
    <row r="214" spans="1:5">
      <c r="A214" s="1" t="s">
        <v>234</v>
      </c>
      <c r="B214" s="4">
        <v>14489.2480423907</v>
      </c>
      <c r="C214" s="4">
        <v>16368.0142591704</v>
      </c>
      <c r="E214" s="5"/>
    </row>
    <row r="215" spans="1:5">
      <c r="A215" s="1" t="s">
        <v>235</v>
      </c>
      <c r="B215" s="4">
        <v>14692.13992085</v>
      </c>
      <c r="C215" s="4">
        <v>16568.6128188696</v>
      </c>
      <c r="E215" s="5"/>
    </row>
    <row r="216" spans="1:5">
      <c r="A216" s="1" t="s">
        <v>236</v>
      </c>
      <c r="B216" s="4">
        <v>14668.4855591113</v>
      </c>
      <c r="C216" s="4">
        <v>16516.2521174371</v>
      </c>
      <c r="E216" s="5"/>
    </row>
    <row r="217" spans="1:5">
      <c r="A217" s="1" t="s">
        <v>237</v>
      </c>
      <c r="B217" s="4">
        <v>14593.1215201197</v>
      </c>
      <c r="C217" s="4">
        <v>16424.111434817</v>
      </c>
      <c r="E217" s="5"/>
    </row>
    <row r="218" spans="1:5">
      <c r="A218" s="1" t="s">
        <v>238</v>
      </c>
      <c r="B218" s="4">
        <v>14706.9092920995</v>
      </c>
      <c r="C218" s="4">
        <v>16525.7000258543</v>
      </c>
      <c r="E218" s="5"/>
    </row>
    <row r="219" spans="1:5">
      <c r="A219" s="1" t="s">
        <v>239</v>
      </c>
      <c r="B219" s="4">
        <v>14736.8171703438</v>
      </c>
      <c r="C219" s="4">
        <v>16562.6184351354</v>
      </c>
      <c r="E219" s="5"/>
    </row>
    <row r="220" spans="1:5">
      <c r="A220" s="1" t="s">
        <v>240</v>
      </c>
      <c r="B220" s="4">
        <v>14850.1035376682</v>
      </c>
      <c r="C220" s="4">
        <v>16660.2192847444</v>
      </c>
      <c r="E220" s="5"/>
    </row>
    <row r="221" spans="1:5">
      <c r="A221" s="1" t="s">
        <v>241</v>
      </c>
      <c r="B221" s="4">
        <v>14946.423557411</v>
      </c>
      <c r="C221" s="4">
        <v>16725.5631235191</v>
      </c>
      <c r="E221" s="5"/>
    </row>
    <row r="222" spans="1:5">
      <c r="A222" s="1" t="s">
        <v>242</v>
      </c>
      <c r="B222" s="4">
        <v>14955.9152013709</v>
      </c>
      <c r="C222" s="4">
        <v>16713.6269638728</v>
      </c>
      <c r="E222" s="5"/>
    </row>
    <row r="223" spans="1:5">
      <c r="A223" s="1" t="s">
        <v>243</v>
      </c>
      <c r="B223" s="4">
        <v>15038.2402411799</v>
      </c>
      <c r="C223" s="4">
        <v>16790.8930476919</v>
      </c>
      <c r="E223" s="5"/>
    </row>
    <row r="224" spans="1:5">
      <c r="A224" s="1" t="s">
        <v>244</v>
      </c>
      <c r="B224" s="4">
        <v>15115.3849168453</v>
      </c>
      <c r="C224" s="4">
        <v>16870.0895403453</v>
      </c>
      <c r="E224" s="5"/>
    </row>
    <row r="225" spans="1:5">
      <c r="A225" s="1" t="s">
        <v>245</v>
      </c>
      <c r="B225" s="4">
        <v>15103.1394373362</v>
      </c>
      <c r="C225" s="4">
        <v>16829.0819421949</v>
      </c>
      <c r="E225" s="5"/>
    </row>
    <row r="226" spans="1:5">
      <c r="A226" s="1" t="s">
        <v>246</v>
      </c>
      <c r="B226" s="4">
        <v>15206.2966457875</v>
      </c>
      <c r="C226" s="4">
        <v>16918.1809797137</v>
      </c>
      <c r="E226" s="5"/>
    </row>
    <row r="227" spans="1:5">
      <c r="A227" s="1" t="s">
        <v>247</v>
      </c>
      <c r="B227" s="4">
        <v>15278.8975570055</v>
      </c>
      <c r="C227" s="4">
        <v>16955.9338138153</v>
      </c>
      <c r="E227" s="5"/>
    </row>
    <row r="228" spans="1:5">
      <c r="A228" s="1" t="s">
        <v>248</v>
      </c>
      <c r="B228" s="4">
        <v>15264.903633097</v>
      </c>
      <c r="C228" s="4">
        <v>16904.7827170002</v>
      </c>
      <c r="E228" s="5"/>
    </row>
    <row r="229" spans="1:5">
      <c r="A229" s="1" t="s">
        <v>249</v>
      </c>
      <c r="B229" s="4">
        <v>15384.6208099274</v>
      </c>
      <c r="C229" s="4">
        <v>17022.517751515</v>
      </c>
      <c r="E229" s="5"/>
    </row>
    <row r="230" spans="1:5">
      <c r="A230" s="1" t="s">
        <v>250</v>
      </c>
      <c r="B230" s="4">
        <v>15255.6508114414</v>
      </c>
      <c r="C230" s="4">
        <v>16862.6986118324</v>
      </c>
      <c r="E230" s="5"/>
    </row>
    <row r="231" spans="1:5">
      <c r="A231" s="1" t="s">
        <v>251</v>
      </c>
      <c r="B231" s="4">
        <v>15283.5531985647</v>
      </c>
      <c r="C231" s="4">
        <v>16841.8689031375</v>
      </c>
      <c r="E231" s="5"/>
    </row>
    <row r="232" spans="1:5">
      <c r="A232" s="1" t="s">
        <v>252</v>
      </c>
      <c r="B232" s="4">
        <v>15515.1399899356</v>
      </c>
      <c r="C232" s="4">
        <v>17057.8915015101</v>
      </c>
      <c r="E232" s="5"/>
    </row>
    <row r="233" spans="1:5">
      <c r="A233" s="1" t="s">
        <v>253</v>
      </c>
      <c r="B233" s="4">
        <v>15583.8867817965</v>
      </c>
      <c r="C233" s="4">
        <v>17096.8533416089</v>
      </c>
      <c r="E233" s="5"/>
    </row>
    <row r="234" spans="1:5">
      <c r="A234" s="1" t="s">
        <v>254</v>
      </c>
      <c r="B234" s="4">
        <v>15567.1455843954</v>
      </c>
      <c r="C234" s="4">
        <v>17037.7866574597</v>
      </c>
      <c r="E234" s="5"/>
    </row>
    <row r="235" spans="1:5">
      <c r="A235" s="1" t="s">
        <v>255</v>
      </c>
      <c r="B235" s="4">
        <v>15521.5846338875</v>
      </c>
      <c r="C235" s="4">
        <v>16971.3728425473</v>
      </c>
      <c r="E235" s="5"/>
    </row>
    <row r="236" spans="1:5">
      <c r="A236" s="1" t="s">
        <v>256</v>
      </c>
      <c r="B236" s="4">
        <v>15622.1103973433</v>
      </c>
      <c r="C236" s="4">
        <v>17031.9764220931</v>
      </c>
      <c r="E236" s="5"/>
    </row>
    <row r="237" spans="1:5">
      <c r="A237" s="1" t="s">
        <v>257</v>
      </c>
      <c r="B237" s="4">
        <v>15720.8552130644</v>
      </c>
      <c r="C237" s="4">
        <v>17102.2282802349</v>
      </c>
      <c r="E237" s="5"/>
    </row>
    <row r="238" spans="1:5">
      <c r="A238" s="1" t="s">
        <v>258</v>
      </c>
      <c r="B238" s="4">
        <v>15600.0743895542</v>
      </c>
      <c r="C238" s="4">
        <v>16960.415647485</v>
      </c>
      <c r="E238" s="5"/>
    </row>
    <row r="239" spans="1:5">
      <c r="A239" s="1" t="s">
        <v>259</v>
      </c>
      <c r="B239" s="4">
        <v>15851.3322136206</v>
      </c>
      <c r="C239" s="4">
        <v>17249.3593718382</v>
      </c>
      <c r="E239" s="5"/>
    </row>
    <row r="240" spans="1:5">
      <c r="A240" s="1" t="s">
        <v>260</v>
      </c>
      <c r="B240" s="4">
        <v>15842.2736775734</v>
      </c>
      <c r="C240" s="4">
        <v>17209.1216704104</v>
      </c>
      <c r="E240" s="5"/>
    </row>
    <row r="241" spans="1:5">
      <c r="A241" s="1" t="s">
        <v>261</v>
      </c>
      <c r="B241" s="4">
        <v>15833.1711087625</v>
      </c>
      <c r="C241" s="4">
        <v>17210.0367298726</v>
      </c>
      <c r="E241" s="5"/>
    </row>
    <row r="242" spans="1:5">
      <c r="A242" s="1" t="s">
        <v>262</v>
      </c>
      <c r="B242" s="4">
        <v>15934.1369485804</v>
      </c>
      <c r="C242" s="4">
        <v>17263.3510112799</v>
      </c>
      <c r="E242" s="5"/>
    </row>
    <row r="243" spans="1:5">
      <c r="A243" s="1" t="s">
        <v>263</v>
      </c>
      <c r="B243" s="4">
        <v>16213.8984654432</v>
      </c>
      <c r="C243" s="4">
        <v>17513.3183606643</v>
      </c>
      <c r="E243" s="5"/>
    </row>
    <row r="244" spans="1:5">
      <c r="A244" s="1" t="s">
        <v>264</v>
      </c>
      <c r="B244" s="4">
        <v>16058.3795859692</v>
      </c>
      <c r="C244" s="4">
        <v>17324.9116331726</v>
      </c>
      <c r="E244" s="5"/>
    </row>
    <row r="245" spans="1:5">
      <c r="A245" s="1" t="s">
        <v>265</v>
      </c>
      <c r="B245" s="4">
        <v>16178.0865933526</v>
      </c>
      <c r="C245" s="4">
        <v>17411.1843776932</v>
      </c>
      <c r="E245" s="5"/>
    </row>
    <row r="246" spans="1:5">
      <c r="A246" s="1" t="s">
        <v>266</v>
      </c>
      <c r="B246" s="4">
        <v>16227.2688935189</v>
      </c>
      <c r="C246" s="4">
        <v>17479.3714217365</v>
      </c>
      <c r="E246" s="5"/>
    </row>
    <row r="247" spans="1:5">
      <c r="A247" s="1" t="s">
        <v>267</v>
      </c>
      <c r="B247" s="4">
        <v>16215.9895130825</v>
      </c>
      <c r="C247" s="4">
        <v>17443.6124258071</v>
      </c>
      <c r="E247" s="5"/>
    </row>
    <row r="248" spans="1:5">
      <c r="A248" s="1" t="s">
        <v>268</v>
      </c>
      <c r="B248" s="4">
        <v>16323.9797318847</v>
      </c>
      <c r="C248" s="4">
        <v>17522.7593832693</v>
      </c>
      <c r="E248" s="5"/>
    </row>
    <row r="249" spans="1:5">
      <c r="A249" s="1" t="s">
        <v>269</v>
      </c>
      <c r="B249" s="4">
        <v>16277.6100748121</v>
      </c>
      <c r="C249" s="4">
        <v>17418.5066924173</v>
      </c>
      <c r="E249" s="5"/>
    </row>
    <row r="250" spans="1:5">
      <c r="A250" s="1" t="s">
        <v>270</v>
      </c>
      <c r="B250" s="4">
        <v>16357.0331933209</v>
      </c>
      <c r="C250" s="4">
        <v>17468.3193776542</v>
      </c>
      <c r="E250" s="5"/>
    </row>
    <row r="251" spans="1:5">
      <c r="A251" s="1" t="s">
        <v>271</v>
      </c>
      <c r="B251" s="4">
        <v>16343.6136082299</v>
      </c>
      <c r="C251" s="4">
        <v>17414.4825608212</v>
      </c>
      <c r="E251" s="5"/>
    </row>
    <row r="252" spans="1:5">
      <c r="A252" s="1" t="s">
        <v>272</v>
      </c>
      <c r="B252" s="4">
        <v>16410.0677484042</v>
      </c>
      <c r="C252" s="4">
        <v>17490.2701880905</v>
      </c>
      <c r="E252" s="5"/>
    </row>
    <row r="253" spans="1:5">
      <c r="A253" s="1" t="s">
        <v>273</v>
      </c>
      <c r="B253" s="4">
        <v>16507.5756433554</v>
      </c>
      <c r="C253" s="4">
        <v>17565.48905104</v>
      </c>
      <c r="E253" s="5"/>
    </row>
    <row r="254" spans="1:5">
      <c r="A254" s="1" t="s">
        <v>274</v>
      </c>
      <c r="B254" s="4">
        <v>16684.3588686398</v>
      </c>
      <c r="C254" s="4">
        <v>17726.1322936705</v>
      </c>
      <c r="E254" s="5"/>
    </row>
    <row r="255" spans="1:5">
      <c r="A255" s="1" t="s">
        <v>275</v>
      </c>
      <c r="B255" s="4">
        <v>16602.4799992315</v>
      </c>
      <c r="C255" s="4">
        <v>17600.8936245639</v>
      </c>
      <c r="E255" s="5"/>
    </row>
    <row r="256" spans="1:5">
      <c r="A256" s="1" t="s">
        <v>276</v>
      </c>
      <c r="B256" s="4">
        <v>16657.7281321361</v>
      </c>
      <c r="C256" s="4">
        <v>17660.8169617543</v>
      </c>
      <c r="E256" s="5"/>
    </row>
    <row r="257" spans="1:5">
      <c r="A257" s="1" t="s">
        <v>277</v>
      </c>
      <c r="B257" s="4">
        <v>16674.5710525863</v>
      </c>
      <c r="C257" s="4">
        <v>17690.5891175064</v>
      </c>
      <c r="E257" s="5"/>
    </row>
    <row r="258" spans="1:5">
      <c r="A258" s="1" t="s">
        <v>278</v>
      </c>
      <c r="B258" s="4">
        <v>16672.3904304684</v>
      </c>
      <c r="C258" s="4">
        <v>17657.710535586</v>
      </c>
      <c r="E258" s="5"/>
    </row>
    <row r="259" spans="1:5">
      <c r="A259" s="1" t="s">
        <v>279</v>
      </c>
      <c r="B259" s="4">
        <v>16839.0995168659</v>
      </c>
      <c r="C259" s="4">
        <v>17781.3064164219</v>
      </c>
      <c r="E259" s="5"/>
    </row>
    <row r="260" spans="1:5">
      <c r="A260" s="1" t="s">
        <v>280</v>
      </c>
      <c r="B260" s="4">
        <v>16874.4530569418</v>
      </c>
      <c r="C260" s="4">
        <v>17796.1318901848</v>
      </c>
      <c r="E260" s="5"/>
    </row>
    <row r="261" spans="1:5">
      <c r="A261" s="1" t="s">
        <v>281</v>
      </c>
      <c r="B261" s="4">
        <v>16988.6929146782</v>
      </c>
      <c r="C261" s="4">
        <v>17896.9553737311</v>
      </c>
      <c r="E261" s="5"/>
    </row>
    <row r="262" spans="1:5">
      <c r="A262" s="1" t="s">
        <v>282</v>
      </c>
      <c r="B262" s="4">
        <v>16998.3680283155</v>
      </c>
      <c r="C262" s="4">
        <v>17888.8513296079</v>
      </c>
      <c r="E262" s="5"/>
    </row>
    <row r="263" spans="1:5">
      <c r="A263" s="1" t="s">
        <v>283</v>
      </c>
      <c r="B263" s="4">
        <v>17113.6903884176</v>
      </c>
      <c r="C263" s="4">
        <v>17981.1865095538</v>
      </c>
      <c r="E263" s="5"/>
    </row>
    <row r="264" spans="1:5">
      <c r="A264" s="1" t="s">
        <v>284</v>
      </c>
      <c r="B264" s="4">
        <v>17222.6194728027</v>
      </c>
      <c r="C264" s="4">
        <v>18055.6879644959</v>
      </c>
      <c r="E264" s="5"/>
    </row>
    <row r="265" spans="1:5">
      <c r="A265" s="1" t="s">
        <v>285</v>
      </c>
      <c r="B265" s="4">
        <v>17239.7471387432</v>
      </c>
      <c r="C265" s="4">
        <v>18012.0807017169</v>
      </c>
      <c r="E265" s="5"/>
    </row>
    <row r="266" spans="1:5">
      <c r="A266" s="1" t="s">
        <v>286</v>
      </c>
      <c r="B266" s="4">
        <v>17122.8335277621</v>
      </c>
      <c r="C266" s="4">
        <v>17884.2251433168</v>
      </c>
      <c r="E266" s="5"/>
    </row>
    <row r="267" spans="1:5">
      <c r="A267" s="1" t="s">
        <v>287</v>
      </c>
      <c r="B267" s="4">
        <v>17219.8646800448</v>
      </c>
      <c r="C267" s="4">
        <v>17991.3497313213</v>
      </c>
      <c r="E267" s="5"/>
    </row>
    <row r="268" spans="1:5">
      <c r="A268" s="1" t="s">
        <v>288</v>
      </c>
      <c r="B268" s="4">
        <v>17250.5157921697</v>
      </c>
      <c r="C268" s="4">
        <v>17986.847816419</v>
      </c>
      <c r="E268" s="5"/>
    </row>
    <row r="269" spans="1:5">
      <c r="A269" s="1" t="s">
        <v>289</v>
      </c>
      <c r="B269" s="4">
        <v>17404.8131441</v>
      </c>
      <c r="C269" s="4">
        <v>18109.730377121</v>
      </c>
      <c r="E269" s="5"/>
    </row>
    <row r="270" spans="1:5">
      <c r="A270" s="1" t="s">
        <v>290</v>
      </c>
      <c r="B270" s="4">
        <v>17542.6372085274</v>
      </c>
      <c r="C270" s="4">
        <v>18199.8917891742</v>
      </c>
      <c r="E270" s="5"/>
    </row>
    <row r="271" spans="1:5">
      <c r="A271" s="1" t="s">
        <v>291</v>
      </c>
      <c r="B271" s="4">
        <v>17608.0736473816</v>
      </c>
      <c r="C271" s="4">
        <v>18248.619006677</v>
      </c>
      <c r="E271" s="5"/>
    </row>
    <row r="272" spans="1:5">
      <c r="A272" s="1" t="s">
        <v>292</v>
      </c>
      <c r="B272" s="4">
        <v>17756.9198955991</v>
      </c>
      <c r="C272" s="4">
        <v>18371.4881688307</v>
      </c>
      <c r="E272" s="5"/>
    </row>
    <row r="273" spans="1:5">
      <c r="A273" s="1" t="s">
        <v>293</v>
      </c>
      <c r="B273" s="4">
        <v>17860.4645253873</v>
      </c>
      <c r="C273" s="4">
        <v>18466.131797839</v>
      </c>
      <c r="E273" s="5"/>
    </row>
    <row r="274" spans="1:5">
      <c r="A274" s="1" t="s">
        <v>294</v>
      </c>
      <c r="B274" s="4">
        <v>17795.2995790847</v>
      </c>
      <c r="C274" s="4">
        <v>18383.7646087867</v>
      </c>
      <c r="E274" s="5"/>
    </row>
    <row r="275" spans="1:5">
      <c r="A275" s="1" t="s">
        <v>295</v>
      </c>
      <c r="B275" s="4">
        <v>17902.599102555</v>
      </c>
      <c r="C275" s="4">
        <v>18491.4703891447</v>
      </c>
      <c r="E275" s="5"/>
    </row>
    <row r="276" spans="1:5">
      <c r="A276" s="1" t="s">
        <v>296</v>
      </c>
      <c r="B276" s="4">
        <v>17918.2737686294</v>
      </c>
      <c r="C276" s="4">
        <v>18501.280628704</v>
      </c>
      <c r="E276" s="5"/>
    </row>
    <row r="277" spans="1:5">
      <c r="A277" s="1" t="s">
        <v>297</v>
      </c>
      <c r="B277" s="4">
        <v>17915.3641287559</v>
      </c>
      <c r="C277" s="4">
        <v>18507.8412155272</v>
      </c>
      <c r="E277" s="5"/>
    </row>
    <row r="278" spans="1:5">
      <c r="A278" s="1" t="s">
        <v>298</v>
      </c>
      <c r="B278" s="4">
        <v>18001.9056760131</v>
      </c>
      <c r="C278" s="4">
        <v>18651.1748629284</v>
      </c>
      <c r="E278" s="5"/>
    </row>
    <row r="279" spans="1:5">
      <c r="A279" s="1" t="s">
        <v>299</v>
      </c>
      <c r="B279" s="4">
        <v>18125.0729755504</v>
      </c>
      <c r="C279" s="4">
        <v>18732.1523942373</v>
      </c>
      <c r="E279" s="5"/>
    </row>
    <row r="280" spans="1:5">
      <c r="A280" s="1" t="s">
        <v>300</v>
      </c>
      <c r="B280" s="4">
        <v>18063.6083483957</v>
      </c>
      <c r="C280" s="4">
        <v>18616.9697348317</v>
      </c>
      <c r="E280" s="5"/>
    </row>
    <row r="281" spans="1:5">
      <c r="A281" s="1" t="s">
        <v>301</v>
      </c>
      <c r="B281" s="4">
        <v>18242.0125054308</v>
      </c>
      <c r="C281" s="4">
        <v>18783.4253007258</v>
      </c>
      <c r="E281" s="5"/>
    </row>
    <row r="282" spans="1:5">
      <c r="A282" s="1" t="s">
        <v>302</v>
      </c>
      <c r="B282" s="4">
        <v>18257.7359468282</v>
      </c>
      <c r="C282" s="4">
        <v>18750.1103263779</v>
      </c>
      <c r="E282" s="5"/>
    </row>
    <row r="283" spans="1:5">
      <c r="A283" s="1" t="s">
        <v>303</v>
      </c>
      <c r="B283" s="4">
        <v>18339.6035477026</v>
      </c>
      <c r="C283" s="4">
        <v>18813.5165101685</v>
      </c>
      <c r="E283" s="5"/>
    </row>
    <row r="284" spans="1:5">
      <c r="A284" s="1" t="s">
        <v>304</v>
      </c>
      <c r="B284" s="4">
        <v>18370.5076635355</v>
      </c>
      <c r="C284" s="4">
        <v>18823.0627516139</v>
      </c>
      <c r="E284" s="5"/>
    </row>
    <row r="285" spans="1:5">
      <c r="A285" s="1" t="s">
        <v>305</v>
      </c>
      <c r="B285" s="4">
        <v>18376.2379062159</v>
      </c>
      <c r="C285" s="4">
        <v>18827.7670331976</v>
      </c>
      <c r="E285" s="5"/>
    </row>
    <row r="286" spans="1:5">
      <c r="A286" s="1" t="s">
        <v>306</v>
      </c>
      <c r="B286" s="4">
        <v>18458.1324301726</v>
      </c>
      <c r="C286" s="4">
        <v>18921.7384429712</v>
      </c>
      <c r="E286" s="5"/>
    </row>
    <row r="287" spans="1:5">
      <c r="A287" s="1" t="s">
        <v>307</v>
      </c>
      <c r="B287" s="4">
        <v>18468.4263213574</v>
      </c>
      <c r="C287" s="4">
        <v>18916.5163060502</v>
      </c>
      <c r="E287" s="5"/>
    </row>
    <row r="288" spans="1:5">
      <c r="A288" s="1" t="s">
        <v>308</v>
      </c>
      <c r="B288" s="4">
        <v>18389.4377882279</v>
      </c>
      <c r="C288" s="4">
        <v>18839.2685001504</v>
      </c>
      <c r="E288" s="5"/>
    </row>
    <row r="289" spans="1:5">
      <c r="A289" s="1" t="s">
        <v>309</v>
      </c>
      <c r="B289" s="4">
        <v>18447.5468903193</v>
      </c>
      <c r="C289" s="4">
        <v>18921.0544289031</v>
      </c>
      <c r="E289" s="5"/>
    </row>
    <row r="290" spans="1:5">
      <c r="A290" s="1" t="s">
        <v>310</v>
      </c>
      <c r="B290" s="4">
        <v>18494.8133372241</v>
      </c>
      <c r="C290" s="4">
        <v>18980.5894461331</v>
      </c>
      <c r="E290" s="5"/>
    </row>
    <row r="291" spans="1:5">
      <c r="A291" s="1" t="s">
        <v>311</v>
      </c>
      <c r="B291" s="4">
        <v>18466.9983037852</v>
      </c>
      <c r="C291" s="4">
        <v>18956.2655868428</v>
      </c>
      <c r="E291" s="5"/>
    </row>
    <row r="292" spans="1:5">
      <c r="A292" s="1" t="s">
        <v>312</v>
      </c>
      <c r="B292" s="4">
        <v>18615.9873590181</v>
      </c>
      <c r="C292" s="4">
        <v>19068.5107966363</v>
      </c>
      <c r="E292" s="5"/>
    </row>
    <row r="293" spans="1:5">
      <c r="A293" s="1" t="s">
        <v>313</v>
      </c>
      <c r="B293" s="4">
        <v>18690.9663490534</v>
      </c>
      <c r="C293" s="4">
        <v>19078.0629900291</v>
      </c>
      <c r="E293" s="5"/>
    </row>
    <row r="294" spans="1:5">
      <c r="A294" s="1" t="s">
        <v>314</v>
      </c>
      <c r="B294" s="4">
        <v>18695.659315496</v>
      </c>
      <c r="C294" s="4">
        <v>19050.4466038065</v>
      </c>
      <c r="E294" s="5"/>
    </row>
    <row r="295" spans="1:5">
      <c r="A295" s="1" t="s">
        <v>315</v>
      </c>
      <c r="B295" s="4">
        <v>18748.4803354391</v>
      </c>
      <c r="C295" s="4">
        <v>19059.8331030579</v>
      </c>
      <c r="E295" s="5"/>
    </row>
    <row r="296" spans="1:5">
      <c r="A296" s="1" t="s">
        <v>316</v>
      </c>
      <c r="B296" s="4">
        <v>18794.5752386514</v>
      </c>
      <c r="C296" s="4">
        <v>19115.37482076</v>
      </c>
      <c r="E296" s="5"/>
    </row>
    <row r="297" spans="1:5">
      <c r="A297" s="1" t="s">
        <v>317</v>
      </c>
      <c r="B297" s="4">
        <v>18879.5158332249</v>
      </c>
      <c r="C297" s="4">
        <v>19193.5935871876</v>
      </c>
      <c r="E297" s="5"/>
    </row>
    <row r="298" spans="1:5">
      <c r="A298" s="1" t="s">
        <v>318</v>
      </c>
      <c r="B298" s="4">
        <v>19003.8259281002</v>
      </c>
      <c r="C298" s="4">
        <v>19284.8778575093</v>
      </c>
      <c r="E298" s="5"/>
    </row>
    <row r="299" spans="1:5">
      <c r="A299" s="1" t="s">
        <v>319</v>
      </c>
      <c r="B299" s="4">
        <v>18982.2673304977</v>
      </c>
      <c r="C299" s="4">
        <v>19217.8420574568</v>
      </c>
      <c r="E299" s="5"/>
    </row>
    <row r="300" spans="1:5">
      <c r="A300" s="1" t="s">
        <v>320</v>
      </c>
      <c r="B300" s="4">
        <v>19105.0039566511</v>
      </c>
      <c r="C300" s="4">
        <v>19331.3055321547</v>
      </c>
      <c r="E300" s="5"/>
    </row>
    <row r="301" spans="1:5">
      <c r="A301" s="1" t="s">
        <v>321</v>
      </c>
      <c r="B301" s="4">
        <v>19180.8657127541</v>
      </c>
      <c r="C301" s="4">
        <v>19363.9263405122</v>
      </c>
      <c r="E301" s="5"/>
    </row>
    <row r="302" spans="1:5">
      <c r="A302" s="1" t="s">
        <v>322</v>
      </c>
      <c r="B302" s="4">
        <v>19221.2896244834</v>
      </c>
      <c r="C302" s="4">
        <v>19348.870282582</v>
      </c>
      <c r="E302" s="5"/>
    </row>
    <row r="303" spans="1:5">
      <c r="A303" s="1" t="s">
        <v>323</v>
      </c>
      <c r="B303" s="4">
        <v>19261.7401302704</v>
      </c>
      <c r="C303" s="4">
        <v>19374.9028725783</v>
      </c>
      <c r="E303" s="5"/>
    </row>
    <row r="304" spans="1:5">
      <c r="A304" s="1" t="s">
        <v>324</v>
      </c>
      <c r="B304" s="4">
        <v>19357.2222453455</v>
      </c>
      <c r="C304" s="4">
        <v>19471.2978062534</v>
      </c>
      <c r="E304" s="5"/>
    </row>
    <row r="305" spans="1:5">
      <c r="A305" s="1" t="s">
        <v>325</v>
      </c>
      <c r="B305" s="4">
        <v>19323.2287814424</v>
      </c>
      <c r="C305" s="4">
        <v>19396.710976684</v>
      </c>
      <c r="E305" s="5"/>
    </row>
    <row r="306" spans="1:5">
      <c r="A306" s="1" t="s">
        <v>326</v>
      </c>
      <c r="B306" s="4">
        <v>19439.0895610159</v>
      </c>
      <c r="C306" s="4">
        <v>19514.8204586175</v>
      </c>
      <c r="E306" s="5"/>
    </row>
    <row r="307" spans="1:5">
      <c r="A307" s="1" t="s">
        <v>327</v>
      </c>
      <c r="B307" s="4">
        <v>19553.6106574584</v>
      </c>
      <c r="C307" s="4">
        <v>19609.3568655849</v>
      </c>
      <c r="E307" s="5"/>
    </row>
    <row r="308" spans="1:5">
      <c r="A308" s="1" t="s">
        <v>328</v>
      </c>
      <c r="B308" s="4">
        <v>19583.7125477037</v>
      </c>
      <c r="C308" s="4">
        <v>19604.0728750187</v>
      </c>
      <c r="E308" s="5"/>
    </row>
    <row r="309" spans="1:5">
      <c r="A309" s="1" t="s">
        <v>329</v>
      </c>
      <c r="B309" s="4">
        <v>19662.0793440776</v>
      </c>
      <c r="C309" s="4">
        <v>19634.3625188075</v>
      </c>
      <c r="E309" s="5"/>
    </row>
    <row r="310" spans="1:5">
      <c r="A310" s="1" t="s">
        <v>330</v>
      </c>
      <c r="B310" s="4">
        <v>19831.993108178</v>
      </c>
      <c r="C310" s="4">
        <v>19743.8367311149</v>
      </c>
      <c r="E310" s="5"/>
    </row>
    <row r="311" spans="1:5">
      <c r="A311" s="1" t="s">
        <v>331</v>
      </c>
      <c r="B311" s="4">
        <v>19880.0922606665</v>
      </c>
      <c r="C311" s="4">
        <v>19758.130739926</v>
      </c>
      <c r="E311" s="5"/>
    </row>
    <row r="312" spans="1:5">
      <c r="A312" s="1" t="s">
        <v>332</v>
      </c>
      <c r="B312" s="4">
        <v>20068.4298424184</v>
      </c>
      <c r="C312" s="4">
        <v>19912.8921254673</v>
      </c>
      <c r="E312" s="5"/>
    </row>
    <row r="313" spans="1:5">
      <c r="A313" s="1" t="s">
        <v>333</v>
      </c>
      <c r="B313" s="4">
        <v>20162.7418969118</v>
      </c>
      <c r="C313" s="4">
        <v>19975.9697473648</v>
      </c>
      <c r="E313" s="5"/>
    </row>
    <row r="314" spans="1:5">
      <c r="A314" s="1" t="s">
        <v>334</v>
      </c>
      <c r="B314" s="4">
        <v>20256.8200747267</v>
      </c>
      <c r="C314" s="4">
        <v>20006.9328477882</v>
      </c>
      <c r="E314" s="5"/>
    </row>
    <row r="315" spans="1:5">
      <c r="A315" s="1" t="s">
        <v>335</v>
      </c>
      <c r="B315" s="4">
        <v>20380.1126595939</v>
      </c>
      <c r="C315" s="4">
        <v>20092.3694104636</v>
      </c>
      <c r="E315" s="5"/>
    </row>
    <row r="316" spans="1:5">
      <c r="A316" s="1" t="s">
        <v>336</v>
      </c>
      <c r="B316" s="4">
        <v>20348.7262656799</v>
      </c>
      <c r="C316" s="4">
        <v>20032.9010304129</v>
      </c>
      <c r="E316" s="5"/>
    </row>
    <row r="317" spans="1:5">
      <c r="A317" s="1" t="s">
        <v>337</v>
      </c>
      <c r="B317" s="4">
        <v>20470.0892365199</v>
      </c>
      <c r="C317" s="4">
        <v>20086.3810844338</v>
      </c>
      <c r="E317" s="5"/>
    </row>
    <row r="318" spans="1:5">
      <c r="A318" s="1" t="s">
        <v>338</v>
      </c>
      <c r="B318" s="4">
        <v>20621.5929752293</v>
      </c>
      <c r="C318" s="4">
        <v>20183.6430595763</v>
      </c>
      <c r="E318" s="5"/>
    </row>
    <row r="319" spans="1:5">
      <c r="A319" s="1" t="s">
        <v>339</v>
      </c>
      <c r="B319" s="4">
        <v>20651.0537881719</v>
      </c>
      <c r="C319" s="4">
        <v>20181.4148147173</v>
      </c>
      <c r="E319" s="5"/>
    </row>
    <row r="320" spans="1:5">
      <c r="A320" s="1" t="s">
        <v>340</v>
      </c>
      <c r="B320" s="4">
        <v>20752.1620920671</v>
      </c>
      <c r="C320" s="4">
        <v>20258.8148705805</v>
      </c>
      <c r="E320" s="5"/>
    </row>
    <row r="321" spans="1:5">
      <c r="A321" s="1" t="s">
        <v>341</v>
      </c>
      <c r="B321" s="4">
        <v>20813.6053539245</v>
      </c>
      <c r="C321" s="4">
        <v>20294.2898788188</v>
      </c>
      <c r="E321" s="5"/>
    </row>
    <row r="322" spans="1:5">
      <c r="A322" s="1" t="s">
        <v>342</v>
      </c>
      <c r="B322" s="4">
        <v>20830.4225540656</v>
      </c>
      <c r="C322" s="4">
        <v>20275.3907036829</v>
      </c>
      <c r="E322" s="5"/>
    </row>
    <row r="323" spans="1:5">
      <c r="A323" s="1" t="s">
        <v>343</v>
      </c>
      <c r="B323" s="4">
        <v>20888.4052606392</v>
      </c>
      <c r="C323" s="4">
        <v>20281.9505505103</v>
      </c>
      <c r="E323" s="5"/>
    </row>
    <row r="324" spans="1:5">
      <c r="A324" s="1" t="s">
        <v>344</v>
      </c>
      <c r="B324" s="4">
        <v>20912.7416727058</v>
      </c>
      <c r="C324" s="4">
        <v>20302.7516364354</v>
      </c>
      <c r="E324" s="5"/>
    </row>
    <row r="325" spans="1:5">
      <c r="A325" s="1" t="s">
        <v>345</v>
      </c>
      <c r="B325" s="4">
        <v>20952.4540666004</v>
      </c>
      <c r="C325" s="4">
        <v>20329.9451671734</v>
      </c>
      <c r="E325" s="5"/>
    </row>
    <row r="326" spans="1:5">
      <c r="A326" s="1" t="s">
        <v>346</v>
      </c>
      <c r="B326" s="4">
        <v>21088.3191055149</v>
      </c>
      <c r="C326" s="4">
        <v>20443.4198405578</v>
      </c>
      <c r="E326" s="5"/>
    </row>
    <row r="327" spans="1:5">
      <c r="A327" s="1" t="s">
        <v>347</v>
      </c>
      <c r="B327" s="4">
        <v>21077.0999281423</v>
      </c>
      <c r="C327" s="4">
        <v>20392.3059537573</v>
      </c>
      <c r="E327" s="5"/>
    </row>
    <row r="328" spans="1:5">
      <c r="A328" s="1" t="s">
        <v>348</v>
      </c>
      <c r="B328" s="4">
        <v>21169.3809663586</v>
      </c>
      <c r="C328" s="4">
        <v>20459.2418840916</v>
      </c>
      <c r="E328" s="5"/>
    </row>
    <row r="329" spans="1:5">
      <c r="A329" s="1" t="s">
        <v>349</v>
      </c>
      <c r="B329" s="4">
        <v>21310.7733057697</v>
      </c>
      <c r="C329" s="4">
        <v>20529.3448136125</v>
      </c>
      <c r="E329" s="5"/>
    </row>
    <row r="330" spans="1:5">
      <c r="A330" s="1" t="s">
        <v>350</v>
      </c>
      <c r="B330" s="4">
        <v>21370.1712480495</v>
      </c>
      <c r="C330" s="4">
        <v>20575.4064380063</v>
      </c>
      <c r="E330" s="5"/>
    </row>
    <row r="331" spans="1:5">
      <c r="A331" s="1" t="s">
        <v>351</v>
      </c>
      <c r="B331" s="4">
        <v>21512.8694460862</v>
      </c>
      <c r="C331" s="4">
        <v>20702.1321260246</v>
      </c>
      <c r="E331" s="5"/>
    </row>
    <row r="332" spans="1:5">
      <c r="A332" s="1" t="s">
        <v>352</v>
      </c>
      <c r="B332" s="4">
        <v>21679.4900600416</v>
      </c>
      <c r="C332" s="4">
        <v>20812.6538969843</v>
      </c>
      <c r="E332" s="5"/>
    </row>
    <row r="333" spans="1:5">
      <c r="A333" s="1" t="s">
        <v>353</v>
      </c>
      <c r="B333" s="4">
        <v>21711.1677857223</v>
      </c>
      <c r="C333" s="4">
        <v>20839.6293906685</v>
      </c>
      <c r="E333" s="5"/>
    </row>
    <row r="334" spans="1:5">
      <c r="A334" s="1" t="s">
        <v>354</v>
      </c>
      <c r="B334" s="4">
        <v>21760.855154248</v>
      </c>
      <c r="C334" s="4">
        <v>20877.7092506851</v>
      </c>
      <c r="E334" s="5"/>
    </row>
    <row r="335" spans="1:5">
      <c r="A335" s="1" t="s">
        <v>355</v>
      </c>
      <c r="B335" s="4">
        <v>21807.3855401503</v>
      </c>
      <c r="C335" s="4">
        <v>20900.4696415368</v>
      </c>
      <c r="E335" s="5"/>
    </row>
    <row r="336" spans="1:5">
      <c r="A336" s="1" t="s">
        <v>356</v>
      </c>
      <c r="B336" s="4">
        <v>21970.1735689215</v>
      </c>
      <c r="C336" s="4">
        <v>21028.331743563</v>
      </c>
      <c r="E336" s="5"/>
    </row>
    <row r="337" spans="1:5">
      <c r="A337" s="1" t="s">
        <v>357</v>
      </c>
      <c r="B337" s="4">
        <v>22022.0918909658</v>
      </c>
      <c r="C337" s="4">
        <v>21027.7819203208</v>
      </c>
      <c r="E337" s="5"/>
    </row>
    <row r="338" spans="1:5">
      <c r="A338" s="1" t="s">
        <v>358</v>
      </c>
      <c r="B338" s="4">
        <v>22041.7974749751</v>
      </c>
      <c r="C338" s="4">
        <v>20989.3145214503</v>
      </c>
      <c r="E338" s="5"/>
    </row>
    <row r="339" spans="1:5">
      <c r="A339" s="1" t="s">
        <v>359</v>
      </c>
      <c r="B339" s="4">
        <v>22112.2283686272</v>
      </c>
      <c r="C339" s="4">
        <v>21056.2850725022</v>
      </c>
      <c r="E339" s="5"/>
    </row>
    <row r="340" spans="1:5">
      <c r="A340" s="1" t="s">
        <v>360</v>
      </c>
      <c r="B340" s="4">
        <v>21028.9451563859</v>
      </c>
      <c r="C340" s="4">
        <v>20035.0833628196</v>
      </c>
    </row>
    <row r="341" spans="1:5">
      <c r="A341" s="1" t="s">
        <v>361</v>
      </c>
      <c r="B341" s="4">
        <v>19025.300344813</v>
      </c>
      <c r="C341" s="4">
        <v>18239.4098627944</v>
      </c>
    </row>
    <row r="342" spans="1:5">
      <c r="A342" s="1" t="s">
        <v>362</v>
      </c>
      <c r="B342" s="4">
        <v>19860.7071359424</v>
      </c>
      <c r="C342" s="4">
        <v>19003.344844383</v>
      </c>
    </row>
    <row r="343" spans="1:5">
      <c r="A343" s="1" t="s">
        <v>363</v>
      </c>
      <c r="B343" s="4">
        <v>20920.3245191805</v>
      </c>
      <c r="C343" s="4">
        <v>19929.4214359105</v>
      </c>
      <c r="E343" s="5"/>
    </row>
    <row r="344" spans="1:5">
      <c r="A344" s="1" t="s">
        <v>364</v>
      </c>
      <c r="B344" s="4">
        <v>21468.6892179183</v>
      </c>
      <c r="C344" s="4">
        <v>20373.4773826845</v>
      </c>
      <c r="E344" s="5"/>
    </row>
    <row r="345" spans="1:5">
      <c r="A345" s="1" t="s">
        <v>365</v>
      </c>
      <c r="B345" s="4">
        <v>21650.7914088827</v>
      </c>
      <c r="C345" s="4">
        <v>20515.9338424306</v>
      </c>
      <c r="E345" s="5"/>
    </row>
    <row r="346" spans="1:5">
      <c r="A346" s="1" t="s">
        <v>366</v>
      </c>
      <c r="B346" s="4">
        <v>21934.172373262</v>
      </c>
      <c r="C346" s="4">
        <v>20760.6217683774</v>
      </c>
      <c r="E346" s="5"/>
    </row>
    <row r="347" spans="1:5">
      <c r="A347" s="1" t="s">
        <v>367</v>
      </c>
      <c r="B347" s="4">
        <v>22086.0688292234</v>
      </c>
      <c r="C347" s="4">
        <v>20859.2776461347</v>
      </c>
      <c r="E347" s="5"/>
    </row>
    <row r="348" spans="1:5">
      <c r="A348" s="1" t="s">
        <v>368</v>
      </c>
      <c r="B348" s="4">
        <v>21934.32851869</v>
      </c>
      <c r="C348" s="4">
        <v>20658.9932037979</v>
      </c>
      <c r="E348" s="5"/>
    </row>
    <row r="349" spans="1:5">
      <c r="A349" s="1" t="s">
        <v>369</v>
      </c>
      <c r="B349" s="4">
        <v>22185.9036521636</v>
      </c>
      <c r="C349" s="4">
        <v>20800.4737512292</v>
      </c>
      <c r="E349" s="5"/>
    </row>
    <row r="350" spans="1:5">
      <c r="A350" s="1" t="s">
        <v>370</v>
      </c>
      <c r="B350" s="4">
        <v>22615.7197593608</v>
      </c>
      <c r="C350" s="4">
        <v>21108.6673161052</v>
      </c>
      <c r="E350" s="5"/>
    </row>
    <row r="351" spans="1:5">
      <c r="A351" s="1" t="s">
        <v>371</v>
      </c>
      <c r="B351" s="4">
        <v>22393.3830061508</v>
      </c>
      <c r="C351" s="4">
        <v>20821.7983144046</v>
      </c>
      <c r="E351" s="5"/>
    </row>
    <row r="352" spans="1:5">
      <c r="A352" s="1" t="s">
        <v>372</v>
      </c>
      <c r="B352" s="4">
        <v>22961.2762345306</v>
      </c>
      <c r="C352" s="4">
        <v>21248.7262434732</v>
      </c>
      <c r="E352" s="5"/>
    </row>
    <row r="353" spans="1:5">
      <c r="A353" s="1" t="s">
        <v>373</v>
      </c>
      <c r="B353" s="4">
        <v>23220.1715315616</v>
      </c>
      <c r="C353" s="4">
        <v>21387.5970496394</v>
      </c>
      <c r="E353" s="5"/>
    </row>
    <row r="354" spans="1:5">
      <c r="A354" s="1" t="s">
        <v>374</v>
      </c>
      <c r="B354" s="4">
        <v>23348.2363667788</v>
      </c>
      <c r="C354" s="4">
        <v>21370.9463666415</v>
      </c>
      <c r="E354" s="5"/>
    </row>
    <row r="355" spans="1:5">
      <c r="A355" s="1" t="s">
        <v>375</v>
      </c>
      <c r="B355" s="4">
        <v>23538.1751017448</v>
      </c>
      <c r="C355" s="4">
        <v>21412.3224808239</v>
      </c>
      <c r="E355" s="5"/>
    </row>
    <row r="356" spans="1:5">
      <c r="A356" s="1" t="s">
        <v>376</v>
      </c>
      <c r="B356" s="4">
        <v>23781.5091391395</v>
      </c>
      <c r="C356" s="4">
        <v>21534.6292960848</v>
      </c>
      <c r="E356" s="5"/>
    </row>
    <row r="357" spans="1:5">
      <c r="A357" s="1" t="s">
        <v>377</v>
      </c>
      <c r="B357" s="4">
        <v>23886.6934890055</v>
      </c>
      <c r="C357" s="4">
        <v>21522.7778242597</v>
      </c>
      <c r="E357" s="5"/>
    </row>
    <row r="358" spans="1:5">
      <c r="A358" s="1" t="s">
        <v>378</v>
      </c>
      <c r="B358" s="4">
        <v>24097.7703718317</v>
      </c>
      <c r="C358" s="4">
        <v>21660.6500190523</v>
      </c>
      <c r="E358" s="5"/>
    </row>
    <row r="359" spans="1:5">
      <c r="A359" s="1" t="s">
        <v>379</v>
      </c>
      <c r="B359" s="4">
        <v>24561.0692041895</v>
      </c>
      <c r="C359" s="4">
        <v>21897.2082124265</v>
      </c>
      <c r="E359" s="5"/>
    </row>
    <row r="360" spans="1:5">
      <c r="A360" s="1" t="s">
        <v>380</v>
      </c>
      <c r="B360" s="4">
        <v>24725.0918590839</v>
      </c>
      <c r="C360" s="4">
        <v>21898.7606822775</v>
      </c>
      <c r="E360" s="5"/>
    </row>
    <row r="361" spans="1:5">
      <c r="A361" s="1" t="s">
        <v>381</v>
      </c>
      <c r="B361" s="4">
        <v>25044.9529367302</v>
      </c>
      <c r="C361" s="4">
        <v>22089.2088431227</v>
      </c>
      <c r="E361" s="5"/>
    </row>
    <row r="362" spans="1:5">
      <c r="A362" s="1" t="s">
        <v>382</v>
      </c>
      <c r="B362" s="4">
        <v>24990.9663131895</v>
      </c>
      <c r="C362" s="4">
        <v>21883.4539334053</v>
      </c>
      <c r="E362" s="5"/>
    </row>
    <row r="363" spans="1:5">
      <c r="A363" s="1" t="s">
        <v>383</v>
      </c>
      <c r="B363" s="4">
        <v>25132.0829776823</v>
      </c>
      <c r="C363" s="4">
        <v>21848.2381418976</v>
      </c>
      <c r="E363" s="5"/>
    </row>
    <row r="364" spans="1:5">
      <c r="A364" s="1" t="s">
        <v>384</v>
      </c>
      <c r="B364" s="4">
        <v>25523.4237091532</v>
      </c>
      <c r="C364" s="4">
        <v>21983.8750608312</v>
      </c>
      <c r="E364" s="5"/>
    </row>
    <row r="365" spans="1:5">
      <c r="A365" s="1" t="s">
        <v>385</v>
      </c>
      <c r="B365" s="4">
        <v>25604.1576938871</v>
      </c>
      <c r="C365" s="4">
        <v>21961.4977856878</v>
      </c>
      <c r="E365" s="5"/>
    </row>
    <row r="366" spans="1:5">
      <c r="A366" s="1" t="s">
        <v>386</v>
      </c>
      <c r="B366" s="4">
        <v>25820.7933975957</v>
      </c>
      <c r="C366" s="4">
        <v>21940.5860665141</v>
      </c>
      <c r="E366" s="5"/>
    </row>
    <row r="367" spans="1:5">
      <c r="A367" s="1" t="s">
        <v>387</v>
      </c>
      <c r="B367" s="4">
        <v>25992.4219085466</v>
      </c>
      <c r="C367" s="4">
        <v>21859.714506231</v>
      </c>
    </row>
    <row r="368" spans="1:5">
      <c r="A368" s="1" t="s">
        <v>388</v>
      </c>
      <c r="B368" s="4">
        <v>26051.2403937538</v>
      </c>
      <c r="C368" s="4">
        <v>21941.9432205834</v>
      </c>
    </row>
    <row r="369" spans="1:3">
      <c r="A369" s="1" t="s">
        <v>389</v>
      </c>
      <c r="B369" s="4">
        <v>26384.6700622868</v>
      </c>
      <c r="C369" s="4">
        <v>22156.9126905544</v>
      </c>
    </row>
    <row r="370" spans="1:3">
      <c r="A370" s="1" t="s">
        <v>390</v>
      </c>
      <c r="B370" s="4">
        <v>26380.1225438652</v>
      </c>
      <c r="C370" s="4">
        <v>22105.7930888532</v>
      </c>
    </row>
    <row r="371" spans="1:3">
      <c r="A371" s="1" t="s">
        <v>391</v>
      </c>
      <c r="B371" s="4">
        <v>26667.0943649607</v>
      </c>
      <c r="C371" s="4">
        <v>22227.4256289546</v>
      </c>
    </row>
    <row r="372" spans="1:3">
      <c r="A372" s="1" t="s">
        <v>392</v>
      </c>
      <c r="B372" s="4">
        <v>26779.1723325616</v>
      </c>
      <c r="C372" s="4">
        <v>22253.6285396489</v>
      </c>
    </row>
    <row r="373" spans="1:3">
      <c r="A373" s="1" t="s">
        <v>393</v>
      </c>
      <c r="B373" s="4">
        <v>26756.5643024258</v>
      </c>
      <c r="C373" s="4">
        <v>22271.5341345827</v>
      </c>
    </row>
    <row r="374" spans="1:3">
      <c r="A374" s="1" t="s">
        <v>394</v>
      </c>
      <c r="B374" s="4">
        <v>27087.7611969981</v>
      </c>
      <c r="C374" s="4">
        <v>22409.3076898284</v>
      </c>
    </row>
    <row r="375" spans="1:3">
      <c r="A375" s="1" t="s">
        <v>395</v>
      </c>
      <c r="B375" s="4">
        <v>27113.551427228</v>
      </c>
      <c r="C375" s="4">
        <v>22340.9792550116</v>
      </c>
    </row>
    <row r="376" spans="1:3">
      <c r="A376" s="1" t="s">
        <v>396</v>
      </c>
      <c r="B376" s="4">
        <v>27291.7643758393</v>
      </c>
      <c r="C376" s="4">
        <v>22464.0297875839</v>
      </c>
    </row>
    <row r="377" spans="1:3">
      <c r="A377" s="1" t="s">
        <v>397</v>
      </c>
      <c r="B377" s="4">
        <v>27347.0019999315</v>
      </c>
      <c r="C377" s="4">
        <v>22474.3511625528</v>
      </c>
    </row>
    <row r="378" spans="1:3">
      <c r="A378" s="1" t="s">
        <v>398</v>
      </c>
      <c r="B378" s="4">
        <v>27466.7896284554</v>
      </c>
      <c r="C378" s="4">
        <v>22573.952969301</v>
      </c>
    </row>
    <row r="379" spans="1:3">
      <c r="A379" s="1" t="s">
        <v>399</v>
      </c>
      <c r="B379" s="4">
        <v>27547.6533716036</v>
      </c>
      <c r="C379" s="4">
        <v>22573.9704747158</v>
      </c>
    </row>
    <row r="380" spans="1:3">
      <c r="A380" s="1" t="s">
        <v>400</v>
      </c>
      <c r="B380" s="4">
        <v>27735.7801793888</v>
      </c>
      <c r="C380" s="4">
        <v>22684.5033694648</v>
      </c>
    </row>
    <row r="381" spans="1:3">
      <c r="A381" s="1" t="s">
        <v>401</v>
      </c>
      <c r="B381" s="4">
        <v>28014.0443100361</v>
      </c>
      <c r="C381" s="4">
        <v>22804.6155636969</v>
      </c>
    </row>
    <row r="382" spans="1:3">
      <c r="A382" s="1" t="s">
        <v>402</v>
      </c>
      <c r="B382" s="4">
        <v>28153.2665106635</v>
      </c>
      <c r="C382" s="4">
        <v>22857.7040113524</v>
      </c>
    </row>
    <row r="383" spans="1:3">
      <c r="A383" s="1" t="s">
        <v>403</v>
      </c>
      <c r="B383" s="4">
        <v>28079.3575969548</v>
      </c>
      <c r="C383" s="4">
        <v>22792.9444015709</v>
      </c>
    </row>
    <row r="384" spans="1:3">
      <c r="A384" s="1" t="s">
        <v>404</v>
      </c>
      <c r="B384" s="4">
        <v>28236.8440478069</v>
      </c>
      <c r="C384" s="4">
        <v>22918.0757584281</v>
      </c>
    </row>
    <row r="385" spans="1:3">
      <c r="A385" s="1" t="s">
        <v>405</v>
      </c>
      <c r="B385" s="4">
        <v>28574.6993552301</v>
      </c>
      <c r="C385" s="4">
        <v>23174.7351531469</v>
      </c>
    </row>
    <row r="386" spans="1:3">
      <c r="A386" s="1" t="s">
        <v>406</v>
      </c>
      <c r="B386" s="4">
        <v>28379.8507147864</v>
      </c>
      <c r="C386" s="4">
        <v>22931.8857205268</v>
      </c>
    </row>
    <row r="387" spans="1:3">
      <c r="A387" s="1" t="str">
        <f>1+LEFT(A375,4)&amp;RIGHT(A375,LEN(A375)-4)</f>
        <v>2024 - Feb</v>
      </c>
      <c r="B387" s="4">
        <v>28701.1752231406</v>
      </c>
      <c r="C387" s="4">
        <v>23116.8505575168</v>
      </c>
    </row>
    <row r="388" spans="1:3">
      <c r="A388" s="1" t="str">
        <f t="shared" ref="A388:A391" si="0">1+LEFT(A376,4)&amp;RIGHT(A376,LEN(A376)-4)</f>
        <v>2024 - Mar</v>
      </c>
      <c r="B388" s="4">
        <v>28791.1810621216</v>
      </c>
      <c r="C388" s="4">
        <v>23116.0287646114</v>
      </c>
    </row>
    <row r="389" spans="1:3">
      <c r="A389" s="1" t="str">
        <f t="shared" si="0"/>
        <v>2024 - Apr</v>
      </c>
      <c r="B389" s="4">
        <v>28933.9059138083</v>
      </c>
      <c r="C389" s="4">
        <v>23172.5729785933</v>
      </c>
    </row>
    <row r="390" spans="1:3">
      <c r="A390" s="1" t="str">
        <f t="shared" si="0"/>
        <v>2024 - May</v>
      </c>
      <c r="B390" s="4">
        <v>29043.1796068645</v>
      </c>
      <c r="C390" s="4">
        <v>23257.5030553569</v>
      </c>
    </row>
    <row r="391" spans="1:3">
      <c r="A391" s="1" t="str">
        <f t="shared" si="0"/>
        <v>2024 - Jun</v>
      </c>
      <c r="B391" s="4">
        <v>29073.0564793607</v>
      </c>
      <c r="C391" s="4">
        <v>23245.7697041566</v>
      </c>
    </row>
    <row r="392" spans="1:3">
      <c r="A392" s="1" t="s">
        <v>407</v>
      </c>
      <c r="B392" s="4">
        <v>29343.9804371762</v>
      </c>
      <c r="C392" s="4">
        <v>23393.8388354318</v>
      </c>
    </row>
    <row r="393" spans="1:3">
      <c r="A393" s="1" t="s">
        <v>408</v>
      </c>
      <c r="B393" s="4">
        <v>29378.2434515882</v>
      </c>
      <c r="C393" s="4">
        <v>23405.4273506739</v>
      </c>
    </row>
    <row r="394" spans="1:3">
      <c r="A394" s="1" t="s">
        <v>409</v>
      </c>
      <c r="B394" s="4">
        <v>29402.5181112847</v>
      </c>
      <c r="C394" s="4">
        <v>23405.8791993863</v>
      </c>
    </row>
    <row r="395" spans="1:3">
      <c r="A395" s="1" t="s">
        <v>410</v>
      </c>
      <c r="B395" s="4">
        <v>29653.3210544382</v>
      </c>
      <c r="C395" s="4">
        <v>23517.0680398487</v>
      </c>
    </row>
    <row r="396" spans="1:3">
      <c r="A396" s="1" t="s">
        <v>411</v>
      </c>
      <c r="B396" s="4">
        <v>29768.1572831398</v>
      </c>
      <c r="C396" s="4">
        <v>23591.3198632514</v>
      </c>
    </row>
    <row r="397" spans="1:3">
      <c r="A397" s="1" t="s">
        <v>412</v>
      </c>
      <c r="B397" s="4">
        <v>29750.1136624501</v>
      </c>
      <c r="C397" s="5">
        <v>23523.0806281179</v>
      </c>
    </row>
    <row r="398" spans="1:3">
      <c r="A398" s="1" t="s">
        <v>413</v>
      </c>
      <c r="B398" s="4">
        <v>29901.6608871531</v>
      </c>
      <c r="C398" s="5">
        <v>23522.9959788018</v>
      </c>
    </row>
    <row r="399" spans="1:3">
      <c r="A399" s="1" t="s">
        <v>414</v>
      </c>
      <c r="B399" s="4">
        <v>29956.0875622904</v>
      </c>
      <c r="C399" s="5">
        <v>23490.2869977898</v>
      </c>
    </row>
    <row r="400" spans="1:3">
      <c r="A400" s="1" t="s">
        <v>415</v>
      </c>
      <c r="B400" s="4">
        <v>30028.3925504517</v>
      </c>
      <c r="C400" s="5">
        <v>23529.212364929</v>
      </c>
    </row>
    <row r="401" spans="1:3">
      <c r="A401" s="1" t="s">
        <v>416</v>
      </c>
      <c r="B401" s="4">
        <v>30309.7820133678</v>
      </c>
      <c r="C401" s="5">
        <v>23715.3092275933</v>
      </c>
    </row>
    <row r="402" spans="1:3">
      <c r="A402" s="1" t="s">
        <v>417</v>
      </c>
      <c r="B402" s="4">
        <v>30207.3638515962</v>
      </c>
      <c r="C402" s="5">
        <v>23601.1242514312</v>
      </c>
    </row>
    <row r="403" spans="1:3">
      <c r="A403" s="1" t="s">
        <v>418</v>
      </c>
      <c r="B403" s="4">
        <v>30554.2671434482</v>
      </c>
      <c r="C403" s="5">
        <v>23806.6935357957</v>
      </c>
    </row>
    <row r="404" spans="1:3">
      <c r="A404" s="1" t="s">
        <v>419</v>
      </c>
      <c r="B404" s="4">
        <v>30662.7656215086</v>
      </c>
      <c r="C404" s="5">
        <v>23854.5316404293</v>
      </c>
    </row>
  </sheetData>
  <pageMargins left="0.7" right="0.7" top="0.75" bottom="0.75" header="0.3" footer="0.3"/>
  <pageSetup paperSize="1" orientation="portrait"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BCEB19BB-77E0-4BB4-BB66-75213C3B3653}">
  <ds:schemaRefs/>
</ds:datastoreItem>
</file>

<file path=customXml/itemProps2.xml><?xml version="1.0" encoding="utf-8"?>
<ds:datastoreItem xmlns:ds="http://schemas.openxmlformats.org/officeDocument/2006/customXml" ds:itemID="{1484343F-7F52-4DD8-994B-ADB21ABB049F}">
  <ds:schemaRefs/>
</ds:datastoreItem>
</file>

<file path=customXml/itemProps3.xml><?xml version="1.0" encoding="utf-8"?>
<ds:datastoreItem xmlns:ds="http://schemas.openxmlformats.org/officeDocument/2006/customXml" ds:itemID="{B28E8192-BB19-4A97-BE42-192613123594}">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Index</vt:lpstr>
      <vt:lpstr>Commentary</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Navin</dc:creator>
  <cp:lastModifiedBy>卷发妹纸</cp:lastModifiedBy>
  <dcterms:created xsi:type="dcterms:W3CDTF">2015-02-11T19:50:00Z</dcterms:created>
  <dcterms:modified xsi:type="dcterms:W3CDTF">2025-12-03T05:39:19Z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0x0101000BD22627D9DA294F9A71C708A0200693</vt:lpwstr>
  </property>
  <property fmtid="{D5CDD505-2E9C-101B-9397-08002B2CF9AE}" pid="3" name="Order">
    <vt:r8>100</vt:r8>
  </property>
  <property fmtid="{D5CDD505-2E9C-101B-9397-08002B2CF9AE}" pid="4" name="_ExtendedDescription">
    <vt:lpwstr/>
  </property>
  <property fmtid="{D5CDD505-2E9C-101B-9397-08002B2CF9AE}" pid="5" name="MediaServiceImageTags">
    <vt:lpwstr/>
  </property>
  <property fmtid="{D5CDD505-2E9C-101B-9397-08002B2CF9AE}" pid="6" name="MSIP_Label_1e4321fe-1db3-4305-a2cc-aad91140672d_Enabled">
    <vt:lpwstr>true</vt:lpwstr>
  </property>
  <property fmtid="{D5CDD505-2E9C-101B-9397-08002B2CF9AE}" pid="7" name="MSIP_Label_1e4321fe-1db3-4305-a2cc-aad91140672d_SetDate">
    <vt:lpwstr>2024-06-03T20:22:08Z</vt:lpwstr>
  </property>
  <property fmtid="{D5CDD505-2E9C-101B-9397-08002B2CF9AE}" pid="8" name="MSIP_Label_1e4321fe-1db3-4305-a2cc-aad91140672d_Method">
    <vt:lpwstr>Privileged</vt:lpwstr>
  </property>
  <property fmtid="{D5CDD505-2E9C-101B-9397-08002B2CF9AE}" pid="9" name="MSIP_Label_1e4321fe-1db3-4305-a2cc-aad91140672d_Name">
    <vt:lpwstr>External</vt:lpwstr>
  </property>
  <property fmtid="{D5CDD505-2E9C-101B-9397-08002B2CF9AE}" pid="10" name="MSIP_Label_1e4321fe-1db3-4305-a2cc-aad91140672d_SiteId">
    <vt:lpwstr>8f3e36ea-8039-4b40-81a7-7dc0599e8645</vt:lpwstr>
  </property>
  <property fmtid="{D5CDD505-2E9C-101B-9397-08002B2CF9AE}" pid="11" name="MSIP_Label_1e4321fe-1db3-4305-a2cc-aad91140672d_ActionId">
    <vt:lpwstr>d74adbf4-0c4b-4d4c-b06a-3c320cdbddd4</vt:lpwstr>
  </property>
  <property fmtid="{D5CDD505-2E9C-101B-9397-08002B2CF9AE}" pid="12" name="MSIP_Label_1e4321fe-1db3-4305-a2cc-aad91140672d_ContentBits">
    <vt:lpwstr>0</vt:lpwstr>
  </property>
  <property fmtid="{D5CDD505-2E9C-101B-9397-08002B2CF9AE}" pid="13" name="ICV">
    <vt:lpwstr>08E1317D3C0D45EF82F7213678593FE5_13</vt:lpwstr>
  </property>
  <property fmtid="{D5CDD505-2E9C-101B-9397-08002B2CF9AE}" pid="14" name="KSOProductBuildVer">
    <vt:lpwstr>2052-12.1.0.23542</vt:lpwstr>
  </property>
</Properties>
</file>